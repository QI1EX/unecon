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Documents\Учеба\САМЫЕ ВАЖНЫЕ ДИСЦИПЛИНЫ\ЭК. ДИСЦИПЛИНЫ\Эконометрика\Задания\Практика\"/>
    </mc:Choice>
  </mc:AlternateContent>
  <xr:revisionPtr revIDLastSave="0" documentId="13_ncr:1_{79F8CFD1-6E31-4606-A851-B05530543DCC}" xr6:coauthVersionLast="47" xr6:coauthVersionMax="47" xr10:uidLastSave="{00000000-0000-0000-0000-000000000000}"/>
  <bookViews>
    <workbookView xWindow="-108" yWindow="-108" windowWidth="23256" windowHeight="12456" tabRatio="1000" firstSheet="15" activeTab="18" xr2:uid="{E1278D8D-0017-419B-BD4A-F31C4D87C76F}"/>
  </bookViews>
  <sheets>
    <sheet name="З-1. Данные" sheetId="1" r:id="rId1"/>
    <sheet name="З-2. Множ. регрессия" sheetId="5" r:id="rId2"/>
    <sheet name="З-3. Значимость параметров" sheetId="6" r:id="rId3"/>
    <sheet name="ДЗ-3" sheetId="7" r:id="rId4"/>
    <sheet name="ДЗ-4" sheetId="8" r:id="rId5"/>
    <sheet name="З-5. Прогноз" sheetId="9" r:id="rId6"/>
    <sheet name="Лист5" sheetId="16" r:id="rId7"/>
    <sheet name="З-6. Анализ нелинейных функций" sheetId="15" r:id="rId8"/>
    <sheet name="З-7. Множ. регрессия" sheetId="10" r:id="rId9"/>
    <sheet name="З-8. Анализ случ. остатков" sheetId="11" r:id="rId10"/>
    <sheet name="ДЗ. 7" sheetId="12" r:id="rId11"/>
    <sheet name="ДЗ. 8" sheetId="13" r:id="rId12"/>
    <sheet name="ДЗ. 9" sheetId="14" r:id="rId13"/>
    <sheet name="З-9. Прогноз по нелинейным ф." sheetId="19" r:id="rId14"/>
    <sheet name="З-10. Фиктивные переменные" sheetId="18" r:id="rId15"/>
    <sheet name="З-11. Системы эконометрич. ур. " sheetId="21" r:id="rId16"/>
    <sheet name="З-12. Решение систем" sheetId="22" r:id="rId17"/>
    <sheet name="З-13. Оценка параметров" sheetId="23" r:id="rId18"/>
    <sheet name="З-14. Коррелция рядов динамики" sheetId="24" r:id="rId19"/>
    <sheet name="З-15. Критерий Дарбина-Уотсона " sheetId="25" r:id="rId20"/>
  </sheets>
  <definedNames>
    <definedName name="solver_eng" localSheetId="14" hidden="1">1</definedName>
    <definedName name="solver_neg" localSheetId="14" hidden="1">1</definedName>
    <definedName name="solver_num" localSheetId="14" hidden="1">0</definedName>
    <definedName name="solver_opt" localSheetId="14" hidden="1">'З-10. Фиктивные переменные'!$C$145</definedName>
    <definedName name="solver_typ" localSheetId="14" hidden="1">1</definedName>
    <definedName name="solver_val" localSheetId="14" hidden="1">0</definedName>
    <definedName name="solver_ver" localSheetId="1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25" l="1"/>
  <c r="E20" i="25"/>
  <c r="C24" i="25"/>
  <c r="B24" i="25"/>
  <c r="C23" i="25"/>
  <c r="B23" i="25"/>
  <c r="D6" i="25"/>
  <c r="C20" i="25"/>
  <c r="B20" i="25"/>
  <c r="C14" i="25"/>
  <c r="D14" i="25"/>
  <c r="E14" i="25"/>
  <c r="F14" i="25"/>
  <c r="G14" i="25"/>
  <c r="F13" i="25"/>
  <c r="G7" i="25"/>
  <c r="G8" i="25"/>
  <c r="G9" i="25"/>
  <c r="G10" i="25"/>
  <c r="G11" i="25"/>
  <c r="G12" i="25"/>
  <c r="G13" i="25"/>
  <c r="G6" i="25"/>
  <c r="D7" i="25"/>
  <c r="D8" i="25"/>
  <c r="D9" i="25"/>
  <c r="D10" i="25"/>
  <c r="D11" i="25"/>
  <c r="D12" i="25"/>
  <c r="D13" i="25"/>
  <c r="B14" i="25"/>
  <c r="F7" i="25"/>
  <c r="F8" i="25"/>
  <c r="F9" i="25"/>
  <c r="F10" i="25"/>
  <c r="F11" i="25"/>
  <c r="F12" i="25"/>
  <c r="F6" i="25"/>
  <c r="C7" i="25"/>
  <c r="C8" i="25"/>
  <c r="C9" i="25"/>
  <c r="C10" i="25"/>
  <c r="C11" i="25"/>
  <c r="C12" i="25"/>
  <c r="C13" i="25"/>
  <c r="C6" i="25"/>
  <c r="D162" i="24" a="1"/>
  <c r="D162" i="24" s="1"/>
  <c r="C162" i="24" a="1"/>
  <c r="C162" i="24" s="1"/>
  <c r="B162" i="24" a="1"/>
  <c r="B162" i="24" s="1"/>
  <c r="D144" i="24"/>
  <c r="B126" i="24" a="1"/>
  <c r="B126" i="24" s="1"/>
  <c r="B114" i="24" a="1"/>
  <c r="B114" i="24" s="1"/>
  <c r="B102" i="24"/>
  <c r="BA135" i="24"/>
  <c r="BA136" i="24"/>
  <c r="BA137" i="24"/>
  <c r="BA138" i="24"/>
  <c r="BA139" i="24"/>
  <c r="BA140" i="24"/>
  <c r="BA141" i="24"/>
  <c r="BA142" i="24"/>
  <c r="BA134" i="24"/>
  <c r="AZ135" i="24"/>
  <c r="AZ136" i="24"/>
  <c r="AZ137" i="24"/>
  <c r="AZ138" i="24"/>
  <c r="AZ139" i="24"/>
  <c r="AZ140" i="24"/>
  <c r="AZ141" i="24"/>
  <c r="AZ142" i="24"/>
  <c r="AZ134" i="24"/>
  <c r="BA101" i="24"/>
  <c r="BA102" i="24"/>
  <c r="BA103" i="24"/>
  <c r="BA104" i="24"/>
  <c r="BA105" i="24"/>
  <c r="BA106" i="24"/>
  <c r="BA107" i="24"/>
  <c r="BA108" i="24"/>
  <c r="BA100" i="24"/>
  <c r="AZ101" i="24"/>
  <c r="AZ102" i="24"/>
  <c r="AZ103" i="24"/>
  <c r="AZ104" i="24"/>
  <c r="AZ105" i="24"/>
  <c r="AZ106" i="24"/>
  <c r="AZ107" i="24"/>
  <c r="AZ108" i="24"/>
  <c r="AZ100" i="24"/>
  <c r="BB96" i="24"/>
  <c r="BB95" i="24"/>
  <c r="AQ142" i="24"/>
  <c r="AQ135" i="24"/>
  <c r="AQ136" i="24"/>
  <c r="AQ137" i="24"/>
  <c r="AQ138" i="24"/>
  <c r="AQ139" i="24"/>
  <c r="AQ140" i="24"/>
  <c r="AQ141" i="24"/>
  <c r="AQ134" i="24"/>
  <c r="AP135" i="24"/>
  <c r="AP136" i="24"/>
  <c r="AP137" i="24"/>
  <c r="AP138" i="24"/>
  <c r="AP139" i="24"/>
  <c r="AP140" i="24"/>
  <c r="AP141" i="24"/>
  <c r="AP142" i="24"/>
  <c r="AP134" i="24"/>
  <c r="AQ101" i="24"/>
  <c r="AQ102" i="24"/>
  <c r="AQ103" i="24"/>
  <c r="AQ104" i="24"/>
  <c r="AQ105" i="24"/>
  <c r="AQ106" i="24"/>
  <c r="AQ107" i="24"/>
  <c r="AQ108" i="24"/>
  <c r="AQ100" i="24"/>
  <c r="AP101" i="24"/>
  <c r="AP102" i="24"/>
  <c r="AP103" i="24"/>
  <c r="AP104" i="24"/>
  <c r="AP105" i="24"/>
  <c r="AP106" i="24"/>
  <c r="AP107" i="24"/>
  <c r="AP108" i="24"/>
  <c r="AP100" i="24"/>
  <c r="AR96" i="24"/>
  <c r="AR95" i="24"/>
  <c r="AG135" i="24"/>
  <c r="AG136" i="24"/>
  <c r="AG137" i="24"/>
  <c r="AG138" i="24"/>
  <c r="AG139" i="24"/>
  <c r="AG140" i="24"/>
  <c r="AG141" i="24"/>
  <c r="AG142" i="24"/>
  <c r="AG134" i="24"/>
  <c r="AF135" i="24"/>
  <c r="AF136" i="24"/>
  <c r="AF137" i="24"/>
  <c r="AF138" i="24"/>
  <c r="AF139" i="24"/>
  <c r="AF140" i="24"/>
  <c r="AF141" i="24"/>
  <c r="AF142" i="24"/>
  <c r="AF134" i="24"/>
  <c r="AG101" i="24"/>
  <c r="AG102" i="24"/>
  <c r="AG103" i="24"/>
  <c r="AG104" i="24"/>
  <c r="AG105" i="24"/>
  <c r="AG106" i="24"/>
  <c r="AG107" i="24"/>
  <c r="AG108" i="24"/>
  <c r="AG100" i="24"/>
  <c r="AF101" i="24"/>
  <c r="AF102" i="24"/>
  <c r="AF103" i="24"/>
  <c r="AF104" i="24"/>
  <c r="AF105" i="24"/>
  <c r="AF106" i="24"/>
  <c r="AF107" i="24"/>
  <c r="AF108" i="24"/>
  <c r="AF100" i="24"/>
  <c r="AH95" i="24"/>
  <c r="AH96" i="24"/>
  <c r="X96" i="24"/>
  <c r="X137" i="24"/>
  <c r="W134" i="24" a="1"/>
  <c r="W134" i="24" s="1"/>
  <c r="X134" i="24" s="1"/>
  <c r="V134" i="24" a="1"/>
  <c r="V134" i="24" s="1"/>
  <c r="X95" i="24"/>
  <c r="W100" i="24" a="1"/>
  <c r="W100" i="24" s="1"/>
  <c r="X100" i="24" s="1"/>
  <c r="V100" i="24" a="1"/>
  <c r="V100" i="24" s="1"/>
  <c r="N96" i="24"/>
  <c r="M135" i="24"/>
  <c r="M136" i="24"/>
  <c r="M137" i="24"/>
  <c r="M138" i="24"/>
  <c r="M139" i="24"/>
  <c r="M140" i="24"/>
  <c r="M141" i="24"/>
  <c r="M142" i="24"/>
  <c r="M134" i="24"/>
  <c r="L135" i="24"/>
  <c r="L136" i="24"/>
  <c r="L137" i="24"/>
  <c r="L138" i="24"/>
  <c r="L139" i="24"/>
  <c r="L140" i="24"/>
  <c r="L141" i="24"/>
  <c r="L142" i="24"/>
  <c r="L134" i="24"/>
  <c r="N95" i="24"/>
  <c r="M101" i="24"/>
  <c r="M102" i="24"/>
  <c r="M103" i="24"/>
  <c r="M104" i="24"/>
  <c r="M105" i="24"/>
  <c r="M106" i="24"/>
  <c r="M107" i="24"/>
  <c r="M108" i="24"/>
  <c r="M100" i="24"/>
  <c r="L101" i="24"/>
  <c r="L102" i="24"/>
  <c r="L103" i="24"/>
  <c r="L104" i="24"/>
  <c r="L105" i="24"/>
  <c r="L106" i="24"/>
  <c r="L107" i="24"/>
  <c r="L108" i="24"/>
  <c r="L100" i="24"/>
  <c r="D96" i="24"/>
  <c r="D95" i="24"/>
  <c r="C121" i="24" l="1"/>
  <c r="X105" i="24"/>
  <c r="C127" i="24"/>
  <c r="X106" i="24"/>
  <c r="X104" i="24"/>
  <c r="C134" i="24"/>
  <c r="C133" i="24"/>
  <c r="C115" i="24"/>
  <c r="C132" i="24"/>
  <c r="C122" i="24"/>
  <c r="D122" i="24" s="1"/>
  <c r="C131" i="24"/>
  <c r="C130" i="24"/>
  <c r="X107" i="24"/>
  <c r="C120" i="24"/>
  <c r="D121" i="24" s="1"/>
  <c r="C129" i="24"/>
  <c r="X136" i="24"/>
  <c r="X135" i="24"/>
  <c r="X103" i="24"/>
  <c r="X141" i="24"/>
  <c r="C119" i="24"/>
  <c r="X102" i="24"/>
  <c r="X140" i="24"/>
  <c r="C118" i="24"/>
  <c r="X142" i="24"/>
  <c r="X101" i="24"/>
  <c r="X139" i="24"/>
  <c r="C117" i="24"/>
  <c r="X108" i="24"/>
  <c r="X138" i="24"/>
  <c r="C116" i="24"/>
  <c r="C128" i="24"/>
  <c r="D128" i="24" s="1"/>
  <c r="D132" i="24" l="1"/>
  <c r="D116" i="24"/>
  <c r="D117" i="24"/>
  <c r="D133" i="24"/>
  <c r="D134" i="24"/>
  <c r="D130" i="24"/>
  <c r="D131" i="24"/>
  <c r="D119" i="24"/>
  <c r="D118" i="24"/>
  <c r="D129" i="24"/>
  <c r="D120" i="24"/>
  <c r="B137" i="24" l="1"/>
  <c r="C54" i="24"/>
  <c r="D55" i="24" s="1"/>
  <c r="C55" i="24"/>
  <c r="D56" i="24" s="1"/>
  <c r="C56" i="24"/>
  <c r="D57" i="24" s="1"/>
  <c r="E57" i="24" s="1"/>
  <c r="C57" i="24"/>
  <c r="D58" i="24" s="1"/>
  <c r="E58" i="24" s="1"/>
  <c r="C58" i="24"/>
  <c r="D59" i="24" s="1"/>
  <c r="E59" i="24" s="1"/>
  <c r="C59" i="24"/>
  <c r="D60" i="24" s="1"/>
  <c r="C60" i="24"/>
  <c r="D61" i="24" s="1"/>
  <c r="C61" i="24"/>
  <c r="C53" i="24"/>
  <c r="D54" i="24" s="1"/>
  <c r="E54" i="24" s="1"/>
  <c r="B54" i="24"/>
  <c r="B55" i="24"/>
  <c r="B56" i="24"/>
  <c r="B57" i="24"/>
  <c r="B58" i="24"/>
  <c r="B59" i="24"/>
  <c r="B60" i="24"/>
  <c r="B61" i="24"/>
  <c r="B53" i="24"/>
  <c r="C37" i="24"/>
  <c r="D38" i="24" s="1"/>
  <c r="C38" i="24"/>
  <c r="C39" i="24"/>
  <c r="D40" i="24" s="1"/>
  <c r="C40" i="24"/>
  <c r="D41" i="24" s="1"/>
  <c r="C41" i="24"/>
  <c r="E41" i="24" s="1"/>
  <c r="C42" i="24"/>
  <c r="C43" i="24"/>
  <c r="C44" i="24"/>
  <c r="C45" i="24"/>
  <c r="B38" i="24"/>
  <c r="B39" i="24"/>
  <c r="B40" i="24"/>
  <c r="B41" i="24"/>
  <c r="B42" i="24"/>
  <c r="B43" i="24"/>
  <c r="B44" i="24"/>
  <c r="B45" i="24"/>
  <c r="B37" i="24"/>
  <c r="AJ91" i="23"/>
  <c r="AJ92" i="23"/>
  <c r="AJ93" i="23"/>
  <c r="AJ94" i="23"/>
  <c r="AJ95" i="23"/>
  <c r="AJ96" i="23"/>
  <c r="AJ97" i="23"/>
  <c r="AJ98" i="23"/>
  <c r="AJ99" i="23"/>
  <c r="AJ100" i="23"/>
  <c r="AJ101" i="23"/>
  <c r="AJ102" i="23"/>
  <c r="AJ103" i="23"/>
  <c r="AJ104" i="23"/>
  <c r="AJ105" i="23"/>
  <c r="AJ106" i="23"/>
  <c r="AJ107" i="23"/>
  <c r="AJ108" i="23"/>
  <c r="AJ109" i="23"/>
  <c r="AJ110" i="23"/>
  <c r="AJ111" i="23"/>
  <c r="AJ112" i="23"/>
  <c r="AJ90" i="23"/>
  <c r="AI91" i="23"/>
  <c r="AI92" i="23"/>
  <c r="AI93" i="23"/>
  <c r="AI94" i="23"/>
  <c r="AI95" i="23"/>
  <c r="AI96" i="23"/>
  <c r="AI97" i="23"/>
  <c r="AI98" i="23"/>
  <c r="AI99" i="23"/>
  <c r="AI100" i="23"/>
  <c r="AI101" i="23"/>
  <c r="AI102" i="23"/>
  <c r="AI103" i="23"/>
  <c r="AI104" i="23"/>
  <c r="AI105" i="23"/>
  <c r="AI106" i="23"/>
  <c r="AI107" i="23"/>
  <c r="AI108" i="23"/>
  <c r="AI109" i="23"/>
  <c r="AI110" i="23"/>
  <c r="AI111" i="23"/>
  <c r="AI112" i="23"/>
  <c r="AI90" i="23"/>
  <c r="P91" i="23"/>
  <c r="P92" i="23"/>
  <c r="P93" i="23"/>
  <c r="P94" i="23"/>
  <c r="P95" i="23"/>
  <c r="P96" i="23"/>
  <c r="P97" i="23"/>
  <c r="P98" i="23"/>
  <c r="P99" i="23"/>
  <c r="P100" i="23"/>
  <c r="P101" i="23"/>
  <c r="P102" i="23"/>
  <c r="P103" i="23"/>
  <c r="P104" i="23"/>
  <c r="P105" i="23"/>
  <c r="P106" i="23"/>
  <c r="P107" i="23"/>
  <c r="P108" i="23"/>
  <c r="P109" i="23"/>
  <c r="P110" i="23"/>
  <c r="P111" i="23"/>
  <c r="P112" i="23"/>
  <c r="P90" i="23"/>
  <c r="K13" i="23"/>
  <c r="K14" i="23"/>
  <c r="K15" i="23"/>
  <c r="K16" i="23"/>
  <c r="K17" i="23"/>
  <c r="K18" i="23"/>
  <c r="K19" i="23"/>
  <c r="K20" i="23"/>
  <c r="K21" i="23"/>
  <c r="K22" i="23"/>
  <c r="K23" i="23"/>
  <c r="K24" i="23"/>
  <c r="K25" i="23"/>
  <c r="K26" i="23"/>
  <c r="K27" i="23"/>
  <c r="K28" i="23"/>
  <c r="K29" i="23"/>
  <c r="K30" i="23"/>
  <c r="K31" i="23"/>
  <c r="K32" i="23"/>
  <c r="K33" i="23"/>
  <c r="K34" i="23"/>
  <c r="K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12" i="23"/>
  <c r="E56" i="24" l="1"/>
  <c r="E55" i="24"/>
  <c r="E61" i="24"/>
  <c r="C47" i="24"/>
  <c r="E60" i="24"/>
  <c r="C63" i="24"/>
  <c r="C62" i="24"/>
  <c r="E40" i="24"/>
  <c r="C46" i="24"/>
  <c r="I52" i="24"/>
  <c r="D63" i="24"/>
  <c r="D62" i="24"/>
  <c r="D39" i="24"/>
  <c r="E39" i="24" s="1"/>
  <c r="D45" i="24"/>
  <c r="E45" i="24" s="1"/>
  <c r="E38" i="24"/>
  <c r="D44" i="24"/>
  <c r="E44" i="24" s="1"/>
  <c r="D43" i="24"/>
  <c r="E43" i="24" s="1"/>
  <c r="D42" i="24"/>
  <c r="E42" i="24" s="1"/>
  <c r="P21" i="23" a="1"/>
  <c r="P21" i="23" s="1"/>
  <c r="P22" i="23" a="1"/>
  <c r="P22" i="23" s="1"/>
  <c r="P20" i="23" a="1"/>
  <c r="P20" i="23" s="1"/>
  <c r="E26" i="21" a="1"/>
  <c r="E26" i="21" s="1"/>
  <c r="E25" i="21" a="1"/>
  <c r="E25" i="21" s="1"/>
  <c r="P16" i="23" a="1"/>
  <c r="P16" i="23" s="1"/>
  <c r="P15" i="23" a="1"/>
  <c r="P15" i="23" s="1"/>
  <c r="P14" i="23" a="1"/>
  <c r="P14" i="23" s="1"/>
  <c r="E20" i="21" a="1"/>
  <c r="E20" i="21" s="1"/>
  <c r="E19" i="21" a="1"/>
  <c r="E19" i="21" s="1"/>
  <c r="N26" i="21" a="1"/>
  <c r="N26" i="21" s="1"/>
  <c r="N27" i="21" a="1"/>
  <c r="N27" i="21" s="1"/>
  <c r="N28" i="21" a="1"/>
  <c r="N28" i="21"/>
  <c r="N25" i="21" a="1"/>
  <c r="N25" i="21" s="1"/>
  <c r="N20" i="21" a="1"/>
  <c r="N20" i="21" s="1"/>
  <c r="N21" i="21" a="1"/>
  <c r="N21" i="21" s="1"/>
  <c r="N22" i="21" a="1"/>
  <c r="N22" i="21" s="1"/>
  <c r="N19" i="21" a="1"/>
  <c r="N19" i="21" s="1"/>
  <c r="E20" i="22" a="1"/>
  <c r="E20" i="22"/>
  <c r="E21" i="22" a="1"/>
  <c r="E21" i="22"/>
  <c r="E19" i="22" a="1"/>
  <c r="E19" i="22" s="1"/>
  <c r="E15" i="22" a="1"/>
  <c r="E15" i="22" s="1"/>
  <c r="E14" i="22" a="1"/>
  <c r="E14" i="22" s="1"/>
  <c r="E13" i="22" a="1"/>
  <c r="E13" i="22" s="1"/>
  <c r="F12" i="21" a="1"/>
  <c r="F12" i="21" s="1"/>
  <c r="D175" i="18"/>
  <c r="D174" i="18"/>
  <c r="D170" i="18"/>
  <c r="D169" i="18"/>
  <c r="D168" i="18"/>
  <c r="F109" i="18"/>
  <c r="D109" i="18"/>
  <c r="C109" i="18"/>
  <c r="E109" i="18" s="1"/>
  <c r="C83" i="18"/>
  <c r="F97" i="18"/>
  <c r="G84" i="18"/>
  <c r="G85" i="18"/>
  <c r="G92" i="18"/>
  <c r="G97" i="18"/>
  <c r="G100" i="18"/>
  <c r="F84" i="18"/>
  <c r="F85" i="18"/>
  <c r="F86" i="18"/>
  <c r="G86" i="18" s="1"/>
  <c r="F87" i="18"/>
  <c r="G87" i="18" s="1"/>
  <c r="F88" i="18"/>
  <c r="G88" i="18" s="1"/>
  <c r="F89" i="18"/>
  <c r="G89" i="18" s="1"/>
  <c r="F90" i="18"/>
  <c r="G90" i="18" s="1"/>
  <c r="F91" i="18"/>
  <c r="G91" i="18" s="1"/>
  <c r="F92" i="18"/>
  <c r="F93" i="18"/>
  <c r="G93" i="18" s="1"/>
  <c r="F94" i="18"/>
  <c r="G94" i="18" s="1"/>
  <c r="F95" i="18"/>
  <c r="G95" i="18" s="1"/>
  <c r="F96" i="18"/>
  <c r="G96" i="18" s="1"/>
  <c r="F98" i="18"/>
  <c r="G98" i="18" s="1"/>
  <c r="F99" i="18"/>
  <c r="G99" i="18" s="1"/>
  <c r="F100" i="18"/>
  <c r="F101" i="18"/>
  <c r="G101" i="18" s="1"/>
  <c r="F102" i="18"/>
  <c r="G102" i="18" s="1"/>
  <c r="F83" i="18"/>
  <c r="G83" i="18" s="1"/>
  <c r="E85" i="18"/>
  <c r="D84" i="18"/>
  <c r="E84" i="18" s="1"/>
  <c r="D85" i="18"/>
  <c r="D86" i="18"/>
  <c r="E86" i="18" s="1"/>
  <c r="D87" i="18"/>
  <c r="E87" i="18" s="1"/>
  <c r="D88" i="18"/>
  <c r="E88" i="18" s="1"/>
  <c r="D89" i="18"/>
  <c r="E89" i="18" s="1"/>
  <c r="D90" i="18"/>
  <c r="E90" i="18" s="1"/>
  <c r="D91" i="18"/>
  <c r="E91" i="18" s="1"/>
  <c r="D92" i="18"/>
  <c r="E92" i="18" s="1"/>
  <c r="D93" i="18"/>
  <c r="E93" i="18" s="1"/>
  <c r="D94" i="18"/>
  <c r="E94" i="18" s="1"/>
  <c r="D95" i="18"/>
  <c r="E95" i="18" s="1"/>
  <c r="D96" i="18"/>
  <c r="E96" i="18" s="1"/>
  <c r="D97" i="18"/>
  <c r="E97" i="18" s="1"/>
  <c r="D98" i="18"/>
  <c r="E98" i="18" s="1"/>
  <c r="D99" i="18"/>
  <c r="E99" i="18" s="1"/>
  <c r="D100" i="18"/>
  <c r="E100" i="18" s="1"/>
  <c r="D101" i="18"/>
  <c r="E101" i="18" s="1"/>
  <c r="D102" i="18"/>
  <c r="E102" i="18" s="1"/>
  <c r="D83" i="18"/>
  <c r="E83" i="18" s="1"/>
  <c r="C102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C101" i="18"/>
  <c r="F23" i="18"/>
  <c r="F4" i="18"/>
  <c r="E62" i="24" l="1"/>
  <c r="H52" i="24" s="1"/>
  <c r="D47" i="24"/>
  <c r="E46" i="24"/>
  <c r="D46" i="24"/>
  <c r="I36" i="24"/>
  <c r="F5" i="18"/>
  <c r="H5" i="18" s="1"/>
  <c r="P5" i="18" s="1"/>
  <c r="F6" i="18"/>
  <c r="H6" i="18" s="1"/>
  <c r="P6" i="18" s="1"/>
  <c r="F7" i="18"/>
  <c r="H7" i="18" s="1"/>
  <c r="P7" i="18" s="1"/>
  <c r="F8" i="18"/>
  <c r="H8" i="18" s="1"/>
  <c r="P8" i="18" s="1"/>
  <c r="F9" i="18"/>
  <c r="G9" i="18" s="1"/>
  <c r="O9" i="18" s="1"/>
  <c r="F10" i="18"/>
  <c r="G10" i="18" s="1"/>
  <c r="O10" i="18" s="1"/>
  <c r="F11" i="18"/>
  <c r="G11" i="18" s="1"/>
  <c r="O11" i="18" s="1"/>
  <c r="F12" i="18"/>
  <c r="H12" i="18" s="1"/>
  <c r="P12" i="18" s="1"/>
  <c r="F13" i="18"/>
  <c r="H13" i="18" s="1"/>
  <c r="P13" i="18" s="1"/>
  <c r="F14" i="18"/>
  <c r="H14" i="18" s="1"/>
  <c r="P14" i="18" s="1"/>
  <c r="F15" i="18"/>
  <c r="H15" i="18" s="1"/>
  <c r="P15" i="18" s="1"/>
  <c r="F16" i="18"/>
  <c r="H16" i="18" s="1"/>
  <c r="P16" i="18" s="1"/>
  <c r="F17" i="18"/>
  <c r="G17" i="18" s="1"/>
  <c r="O17" i="18" s="1"/>
  <c r="F18" i="18"/>
  <c r="G18" i="18" s="1"/>
  <c r="O18" i="18" s="1"/>
  <c r="F19" i="18"/>
  <c r="G19" i="18" s="1"/>
  <c r="O19" i="18" s="1"/>
  <c r="F20" i="18"/>
  <c r="G20" i="18" s="1"/>
  <c r="O20" i="18" s="1"/>
  <c r="F21" i="18"/>
  <c r="H21" i="18" s="1"/>
  <c r="P21" i="18" s="1"/>
  <c r="F22" i="18"/>
  <c r="H22" i="18" s="1"/>
  <c r="P22" i="18" s="1"/>
  <c r="H23" i="18"/>
  <c r="P23" i="18" s="1"/>
  <c r="H4" i="18"/>
  <c r="P4" i="18" s="1"/>
  <c r="C27" i="19"/>
  <c r="C26" i="19"/>
  <c r="C11" i="19" a="1"/>
  <c r="C11" i="19" s="1"/>
  <c r="C9" i="19"/>
  <c r="C10" i="19"/>
  <c r="C16" i="19"/>
  <c r="C15" i="19"/>
  <c r="C17" i="19"/>
  <c r="C5" i="19"/>
  <c r="C23" i="14"/>
  <c r="B11" i="14"/>
  <c r="C11" i="14"/>
  <c r="C3" i="14"/>
  <c r="AT5" i="13"/>
  <c r="AT6" i="13"/>
  <c r="AT7" i="13"/>
  <c r="AT8" i="13"/>
  <c r="AT9" i="13"/>
  <c r="AT10" i="13"/>
  <c r="AT4" i="13"/>
  <c r="AS5" i="13"/>
  <c r="AS6" i="13"/>
  <c r="AS7" i="13"/>
  <c r="AS8" i="13"/>
  <c r="AS9" i="13"/>
  <c r="AS10" i="13"/>
  <c r="AS4" i="13"/>
  <c r="AR5" i="13"/>
  <c r="AR6" i="13"/>
  <c r="AR7" i="13"/>
  <c r="AR8" i="13"/>
  <c r="AR9" i="13"/>
  <c r="AR10" i="13"/>
  <c r="AR4" i="13"/>
  <c r="AQ5" i="13"/>
  <c r="AQ6" i="13"/>
  <c r="AQ7" i="13"/>
  <c r="AQ8" i="13"/>
  <c r="AQ9" i="13"/>
  <c r="AQ10" i="13"/>
  <c r="AQ4" i="13"/>
  <c r="AP5" i="13"/>
  <c r="AP6" i="13"/>
  <c r="AP7" i="13"/>
  <c r="AP8" i="13"/>
  <c r="AP9" i="13"/>
  <c r="AP10" i="13"/>
  <c r="AP4" i="13"/>
  <c r="AE36" i="13"/>
  <c r="AF5" i="13"/>
  <c r="AF6" i="13"/>
  <c r="AF7" i="13"/>
  <c r="AF8" i="13"/>
  <c r="AF9" i="13"/>
  <c r="AF10" i="13"/>
  <c r="AF4" i="13"/>
  <c r="AE9" i="13"/>
  <c r="AE4" i="13"/>
  <c r="T35" i="13"/>
  <c r="V10" i="13"/>
  <c r="U5" i="13"/>
  <c r="V5" i="13" s="1"/>
  <c r="U6" i="13"/>
  <c r="V6" i="13" s="1"/>
  <c r="U7" i="13"/>
  <c r="V7" i="13" s="1"/>
  <c r="U8" i="13"/>
  <c r="V8" i="13" s="1"/>
  <c r="U9" i="13"/>
  <c r="V9" i="13" s="1"/>
  <c r="U10" i="13"/>
  <c r="U4" i="13"/>
  <c r="V4" i="13" s="1"/>
  <c r="T5" i="13"/>
  <c r="AE5" i="13" s="1"/>
  <c r="T6" i="13"/>
  <c r="AE6" i="13" s="1"/>
  <c r="T7" i="13"/>
  <c r="AE7" i="13" s="1"/>
  <c r="T8" i="13"/>
  <c r="AE8" i="13" s="1"/>
  <c r="T9" i="13"/>
  <c r="T10" i="13"/>
  <c r="AE10" i="13" s="1"/>
  <c r="T4" i="13"/>
  <c r="P14" i="13"/>
  <c r="O5" i="13"/>
  <c r="O6" i="13"/>
  <c r="O7" i="13"/>
  <c r="O8" i="13"/>
  <c r="O9" i="13"/>
  <c r="O10" i="13"/>
  <c r="O4" i="13"/>
  <c r="N10" i="13"/>
  <c r="N5" i="13"/>
  <c r="N6" i="13"/>
  <c r="N7" i="13"/>
  <c r="N8" i="13"/>
  <c r="N9" i="13"/>
  <c r="N4" i="13"/>
  <c r="J14" i="13"/>
  <c r="H5" i="13"/>
  <c r="H6" i="13"/>
  <c r="H7" i="13"/>
  <c r="H8" i="13"/>
  <c r="H9" i="13"/>
  <c r="H10" i="13"/>
  <c r="H4" i="13"/>
  <c r="G5" i="13"/>
  <c r="G6" i="13"/>
  <c r="G7" i="13"/>
  <c r="G8" i="13"/>
  <c r="G9" i="13"/>
  <c r="G10" i="13"/>
  <c r="G4" i="13"/>
  <c r="B10" i="10"/>
  <c r="B2" i="5"/>
  <c r="H36" i="24" l="1"/>
  <c r="G4" i="18"/>
  <c r="O4" i="18" s="1"/>
  <c r="G23" i="18"/>
  <c r="O23" i="18" s="1"/>
  <c r="G16" i="18"/>
  <c r="O16" i="18" s="1"/>
  <c r="G15" i="18"/>
  <c r="O15" i="18" s="1"/>
  <c r="G8" i="18"/>
  <c r="O8" i="18" s="1"/>
  <c r="G7" i="18"/>
  <c r="O7" i="18" s="1"/>
  <c r="H11" i="18"/>
  <c r="P11" i="18" s="1"/>
  <c r="G22" i="18"/>
  <c r="O22" i="18" s="1"/>
  <c r="G14" i="18"/>
  <c r="O14" i="18" s="1"/>
  <c r="G6" i="18"/>
  <c r="O6" i="18" s="1"/>
  <c r="H18" i="18"/>
  <c r="P18" i="18" s="1"/>
  <c r="H10" i="18"/>
  <c r="P10" i="18" s="1"/>
  <c r="H20" i="18"/>
  <c r="P20" i="18" s="1"/>
  <c r="H19" i="18"/>
  <c r="P19" i="18" s="1"/>
  <c r="G21" i="18"/>
  <c r="O21" i="18" s="1"/>
  <c r="G13" i="18"/>
  <c r="O13" i="18" s="1"/>
  <c r="G5" i="18"/>
  <c r="O5" i="18" s="1"/>
  <c r="H17" i="18"/>
  <c r="P17" i="18" s="1"/>
  <c r="H9" i="18"/>
  <c r="P9" i="18" s="1"/>
  <c r="G12" i="18"/>
  <c r="O12" i="18" s="1"/>
  <c r="C18" i="19"/>
  <c r="C22" i="19" s="1"/>
  <c r="P4" i="13"/>
  <c r="Q4" i="13" s="1"/>
  <c r="H14" i="13"/>
  <c r="P6" i="13"/>
  <c r="Q6" i="13" s="1"/>
  <c r="G14" i="13"/>
  <c r="I14" i="13" s="1"/>
  <c r="P7" i="13"/>
  <c r="Q7" i="13" s="1"/>
  <c r="P5" i="13"/>
  <c r="Q5" i="13" s="1"/>
  <c r="N14" i="13" s="1"/>
  <c r="O14" i="13" s="1"/>
  <c r="P8" i="13"/>
  <c r="Q8" i="13" s="1"/>
  <c r="P9" i="13"/>
  <c r="Q9" i="13" s="1"/>
  <c r="P10" i="13"/>
  <c r="Q10" i="13" s="1"/>
  <c r="B30" i="1" l="1"/>
  <c r="F25" i="12" l="1"/>
  <c r="F24" i="12"/>
  <c r="F23" i="12"/>
  <c r="F22" i="12"/>
  <c r="E25" i="12"/>
  <c r="E24" i="12"/>
  <c r="E23" i="12"/>
  <c r="E22" i="12"/>
  <c r="D25" i="12"/>
  <c r="D24" i="12"/>
  <c r="D23" i="12"/>
  <c r="D22" i="12"/>
  <c r="C23" i="12"/>
  <c r="C24" i="12"/>
  <c r="C25" i="12"/>
  <c r="C22" i="12"/>
  <c r="B25" i="12"/>
  <c r="B24" i="12"/>
  <c r="B23" i="12"/>
  <c r="B22" i="12"/>
  <c r="C17" i="12"/>
  <c r="C16" i="12"/>
  <c r="C15" i="12"/>
  <c r="C14" i="12"/>
  <c r="E39" i="11"/>
  <c r="D39" i="11"/>
  <c r="C39" i="11"/>
  <c r="B39" i="11"/>
  <c r="D34" i="11"/>
  <c r="C34" i="11"/>
  <c r="B34" i="11"/>
  <c r="BB10" i="11"/>
  <c r="BG10" i="11" s="1"/>
  <c r="BB11" i="11"/>
  <c r="BB12" i="11"/>
  <c r="BB13" i="11"/>
  <c r="BB14" i="11"/>
  <c r="BG14" i="11" s="1"/>
  <c r="BB15" i="11"/>
  <c r="BB16" i="11"/>
  <c r="BB17" i="11"/>
  <c r="BG17" i="11" s="1"/>
  <c r="BB18" i="11"/>
  <c r="BG18" i="11" s="1"/>
  <c r="BB19" i="11"/>
  <c r="BB20" i="11"/>
  <c r="BB21" i="11"/>
  <c r="BB22" i="11"/>
  <c r="BB23" i="11"/>
  <c r="BG23" i="11" s="1"/>
  <c r="BB9" i="11"/>
  <c r="BG15" i="11"/>
  <c r="BG16" i="11"/>
  <c r="BG11" i="11"/>
  <c r="BG19" i="11"/>
  <c r="AR10" i="11"/>
  <c r="AR11" i="11"/>
  <c r="AR12" i="11"/>
  <c r="AR13" i="11"/>
  <c r="AT13" i="11" s="1"/>
  <c r="AU13" i="11" s="1"/>
  <c r="AR14" i="11"/>
  <c r="AT14" i="11" s="1"/>
  <c r="AU14" i="11" s="1"/>
  <c r="AR15" i="11"/>
  <c r="AT15" i="11" s="1"/>
  <c r="AU15" i="11" s="1"/>
  <c r="AR16" i="11"/>
  <c r="AT16" i="11" s="1"/>
  <c r="AU16" i="11" s="1"/>
  <c r="AR17" i="11"/>
  <c r="AT17" i="11" s="1"/>
  <c r="AU17" i="11" s="1"/>
  <c r="AR18" i="11"/>
  <c r="AR19" i="11"/>
  <c r="AR20" i="11"/>
  <c r="AR21" i="11"/>
  <c r="AT21" i="11" s="1"/>
  <c r="AU21" i="11" s="1"/>
  <c r="AR22" i="11"/>
  <c r="AT22" i="11" s="1"/>
  <c r="AU22" i="11" s="1"/>
  <c r="AR23" i="11"/>
  <c r="AT23" i="11" s="1"/>
  <c r="AU23" i="11" s="1"/>
  <c r="AR9" i="11"/>
  <c r="AT9" i="11" s="1"/>
  <c r="AU9" i="11" s="1"/>
  <c r="AJ10" i="11"/>
  <c r="AK10" i="11" s="1"/>
  <c r="AJ11" i="11"/>
  <c r="AK11" i="11" s="1"/>
  <c r="AJ12" i="11"/>
  <c r="AJ13" i="11"/>
  <c r="AJ14" i="11"/>
  <c r="AK14" i="11" s="1"/>
  <c r="AJ15" i="11"/>
  <c r="AK15" i="11" s="1"/>
  <c r="AJ16" i="11"/>
  <c r="AJ17" i="11"/>
  <c r="AK17" i="11" s="1"/>
  <c r="AJ18" i="11"/>
  <c r="AK18" i="11" s="1"/>
  <c r="AJ19" i="11"/>
  <c r="AK19" i="11" s="1"/>
  <c r="AJ20" i="11"/>
  <c r="AJ21" i="11"/>
  <c r="AJ22" i="11"/>
  <c r="AK22" i="11" s="1"/>
  <c r="AJ23" i="11"/>
  <c r="AK23" i="11" s="1"/>
  <c r="AJ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9" i="11"/>
  <c r="G25" i="11"/>
  <c r="G24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9" i="11"/>
  <c r="BA23" i="11"/>
  <c r="BC23" i="11" s="1"/>
  <c r="BG22" i="11"/>
  <c r="BA22" i="11"/>
  <c r="BC22" i="11" s="1"/>
  <c r="BG21" i="11"/>
  <c r="BA21" i="11"/>
  <c r="BC21" i="11" s="1"/>
  <c r="BG20" i="11"/>
  <c r="BA20" i="11"/>
  <c r="BC20" i="11" s="1"/>
  <c r="BA19" i="11"/>
  <c r="BC19" i="11" s="1"/>
  <c r="BA18" i="11"/>
  <c r="BC18" i="11" s="1"/>
  <c r="BA17" i="11"/>
  <c r="BC17" i="11" s="1"/>
  <c r="BA16" i="11"/>
  <c r="BC16" i="11" s="1"/>
  <c r="BA15" i="11"/>
  <c r="BC15" i="11" s="1"/>
  <c r="BA14" i="11"/>
  <c r="BC14" i="11" s="1"/>
  <c r="BG13" i="11"/>
  <c r="BA13" i="11"/>
  <c r="BC13" i="11" s="1"/>
  <c r="BG12" i="11"/>
  <c r="BA12" i="11"/>
  <c r="BC12" i="11" s="1"/>
  <c r="BA11" i="11"/>
  <c r="BC11" i="11" s="1"/>
  <c r="BA10" i="11"/>
  <c r="BC10" i="11" s="1"/>
  <c r="BG9" i="11"/>
  <c r="BA9" i="11"/>
  <c r="BC9" i="11" s="1"/>
  <c r="AP71" i="11"/>
  <c r="AT10" i="11"/>
  <c r="AU10" i="11" s="1"/>
  <c r="AT11" i="11"/>
  <c r="AU11" i="11" s="1"/>
  <c r="AT12" i="11"/>
  <c r="AU12" i="11" s="1"/>
  <c r="AT18" i="11"/>
  <c r="AU18" i="11" s="1"/>
  <c r="AT19" i="11"/>
  <c r="AU19" i="11" s="1"/>
  <c r="AT20" i="11"/>
  <c r="AU20" i="11" s="1"/>
  <c r="AQ10" i="11"/>
  <c r="AS10" i="11" s="1"/>
  <c r="AQ11" i="11"/>
  <c r="AS11" i="11" s="1"/>
  <c r="AQ12" i="11"/>
  <c r="AS12" i="11" s="1"/>
  <c r="AQ13" i="11"/>
  <c r="AS13" i="11" s="1"/>
  <c r="AQ14" i="11"/>
  <c r="AS14" i="11" s="1"/>
  <c r="AQ15" i="11"/>
  <c r="AS15" i="11" s="1"/>
  <c r="AQ16" i="11"/>
  <c r="AS16" i="11" s="1"/>
  <c r="AQ17" i="11"/>
  <c r="AS17" i="11" s="1"/>
  <c r="AQ18" i="11"/>
  <c r="AS18" i="11" s="1"/>
  <c r="AQ19" i="11"/>
  <c r="AS19" i="11" s="1"/>
  <c r="AQ20" i="11"/>
  <c r="AS20" i="11" s="1"/>
  <c r="AQ21" i="11"/>
  <c r="AS21" i="11" s="1"/>
  <c r="AQ22" i="11"/>
  <c r="AS22" i="11" s="1"/>
  <c r="AQ23" i="11"/>
  <c r="AS23" i="11" s="1"/>
  <c r="AQ9" i="11"/>
  <c r="AS9" i="11" s="1"/>
  <c r="AD71" i="11"/>
  <c r="AC71" i="11"/>
  <c r="AK9" i="11"/>
  <c r="AK12" i="11"/>
  <c r="AK13" i="11"/>
  <c r="AK16" i="11"/>
  <c r="AK20" i="11"/>
  <c r="AK21" i="11"/>
  <c r="AF25" i="11"/>
  <c r="AE25" i="11"/>
  <c r="AD25" i="11"/>
  <c r="AF24" i="11"/>
  <c r="AE24" i="11"/>
  <c r="AD24" i="11"/>
  <c r="AH23" i="11"/>
  <c r="AI23" i="11" s="1"/>
  <c r="AG23" i="11"/>
  <c r="AH22" i="11"/>
  <c r="AI22" i="11" s="1"/>
  <c r="AG22" i="11"/>
  <c r="AH21" i="11"/>
  <c r="AI21" i="11" s="1"/>
  <c r="AG21" i="11"/>
  <c r="AH20" i="11"/>
  <c r="AI20" i="11" s="1"/>
  <c r="AG20" i="11"/>
  <c r="AH19" i="11"/>
  <c r="AI19" i="11" s="1"/>
  <c r="AG19" i="11"/>
  <c r="AH18" i="11"/>
  <c r="AI18" i="11" s="1"/>
  <c r="AG18" i="11"/>
  <c r="AH17" i="11"/>
  <c r="AI17" i="11" s="1"/>
  <c r="AG17" i="11"/>
  <c r="AH16" i="11"/>
  <c r="AI16" i="11" s="1"/>
  <c r="AG16" i="11"/>
  <c r="AH15" i="11"/>
  <c r="AI15" i="11" s="1"/>
  <c r="AG15" i="11"/>
  <c r="AH14" i="11"/>
  <c r="AI14" i="11" s="1"/>
  <c r="AG14" i="11"/>
  <c r="AH13" i="11"/>
  <c r="AI13" i="11" s="1"/>
  <c r="AG13" i="11"/>
  <c r="AH12" i="11"/>
  <c r="AI12" i="11" s="1"/>
  <c r="AG12" i="11"/>
  <c r="AH11" i="11"/>
  <c r="AG11" i="11"/>
  <c r="AH10" i="11"/>
  <c r="AI10" i="11" s="1"/>
  <c r="AG10" i="11"/>
  <c r="AH9" i="11"/>
  <c r="AI9" i="11" s="1"/>
  <c r="AG9" i="11"/>
  <c r="T32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9" i="11"/>
  <c r="L96" i="11"/>
  <c r="J96" i="11"/>
  <c r="I96" i="11"/>
  <c r="M1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9" i="11"/>
  <c r="M10" i="11"/>
  <c r="M11" i="11"/>
  <c r="M12" i="11"/>
  <c r="M13" i="11"/>
  <c r="M14" i="11"/>
  <c r="M15" i="11"/>
  <c r="M16" i="11"/>
  <c r="M17" i="11"/>
  <c r="M18" i="11"/>
  <c r="M20" i="11"/>
  <c r="M21" i="11"/>
  <c r="M22" i="11"/>
  <c r="M23" i="11"/>
  <c r="M9" i="11"/>
  <c r="L25" i="11"/>
  <c r="K25" i="11"/>
  <c r="J25" i="11"/>
  <c r="L24" i="11"/>
  <c r="K24" i="11"/>
  <c r="J24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9" i="11"/>
  <c r="E25" i="11"/>
  <c r="D25" i="11"/>
  <c r="C25" i="11"/>
  <c r="E24" i="11"/>
  <c r="D24" i="11"/>
  <c r="C24" i="11"/>
  <c r="AW6" i="15"/>
  <c r="AX6" i="15" s="1"/>
  <c r="AW7" i="15"/>
  <c r="AW8" i="15"/>
  <c r="AW9" i="15"/>
  <c r="AW10" i="15"/>
  <c r="AX10" i="15" s="1"/>
  <c r="AW11" i="15"/>
  <c r="AW12" i="15"/>
  <c r="AW13" i="15"/>
  <c r="AX13" i="15" s="1"/>
  <c r="AW14" i="15"/>
  <c r="AX14" i="15" s="1"/>
  <c r="AW15" i="15"/>
  <c r="AW16" i="15"/>
  <c r="AW17" i="15"/>
  <c r="AW18" i="15"/>
  <c r="AX18" i="15" s="1"/>
  <c r="AW19" i="15"/>
  <c r="AW5" i="15"/>
  <c r="AV6" i="15"/>
  <c r="AV7" i="15"/>
  <c r="AV8" i="15"/>
  <c r="AV9" i="15"/>
  <c r="AV10" i="15"/>
  <c r="AV11" i="15"/>
  <c r="AV12" i="15"/>
  <c r="AV13" i="15"/>
  <c r="AV14" i="15"/>
  <c r="AV15" i="15"/>
  <c r="AV16" i="15"/>
  <c r="AV17" i="15"/>
  <c r="AV18" i="15"/>
  <c r="AV19" i="15"/>
  <c r="AV5" i="15"/>
  <c r="AU6" i="15"/>
  <c r="AU7" i="15"/>
  <c r="AU8" i="15"/>
  <c r="AU9" i="15"/>
  <c r="AU10" i="15"/>
  <c r="AU11" i="15"/>
  <c r="AU12" i="15"/>
  <c r="AU13" i="15"/>
  <c r="AU14" i="15"/>
  <c r="AU15" i="15"/>
  <c r="AU16" i="15"/>
  <c r="AU17" i="15"/>
  <c r="AU18" i="15"/>
  <c r="AU19" i="15"/>
  <c r="AU5" i="15"/>
  <c r="AX19" i="15"/>
  <c r="AX17" i="15"/>
  <c r="AX16" i="15"/>
  <c r="AX15" i="15"/>
  <c r="AX12" i="15"/>
  <c r="AX11" i="15"/>
  <c r="AX9" i="15"/>
  <c r="AX8" i="15"/>
  <c r="AX7" i="15"/>
  <c r="AL6" i="15"/>
  <c r="AL7" i="15"/>
  <c r="AL8" i="15"/>
  <c r="AL9" i="15"/>
  <c r="AL10" i="15"/>
  <c r="AL11" i="15"/>
  <c r="AL12" i="15"/>
  <c r="AL13" i="15"/>
  <c r="AL14" i="15"/>
  <c r="AL15" i="15"/>
  <c r="AL16" i="15"/>
  <c r="AL17" i="15"/>
  <c r="AL18" i="15"/>
  <c r="AL19" i="15"/>
  <c r="AL5" i="15"/>
  <c r="AM19" i="15"/>
  <c r="AN19" i="15" s="1"/>
  <c r="AO19" i="15" s="1"/>
  <c r="AK19" i="15"/>
  <c r="AM18" i="15"/>
  <c r="AN18" i="15" s="1"/>
  <c r="AO18" i="15" s="1"/>
  <c r="AK18" i="15"/>
  <c r="AM17" i="15"/>
  <c r="AN17" i="15" s="1"/>
  <c r="AO17" i="15" s="1"/>
  <c r="AK17" i="15"/>
  <c r="AM16" i="15"/>
  <c r="AN16" i="15" s="1"/>
  <c r="AO16" i="15" s="1"/>
  <c r="AK16" i="15"/>
  <c r="AM15" i="15"/>
  <c r="AN15" i="15" s="1"/>
  <c r="AO15" i="15" s="1"/>
  <c r="AK15" i="15"/>
  <c r="AM14" i="15"/>
  <c r="AN14" i="15" s="1"/>
  <c r="AO14" i="15" s="1"/>
  <c r="AK14" i="15"/>
  <c r="AM13" i="15"/>
  <c r="AN13" i="15" s="1"/>
  <c r="AO13" i="15" s="1"/>
  <c r="AK13" i="15"/>
  <c r="AM12" i="15"/>
  <c r="AN12" i="15" s="1"/>
  <c r="AO12" i="15" s="1"/>
  <c r="AK12" i="15"/>
  <c r="AM11" i="15"/>
  <c r="AN11" i="15" s="1"/>
  <c r="AO11" i="15" s="1"/>
  <c r="AK11" i="15"/>
  <c r="AM10" i="15"/>
  <c r="AN10" i="15" s="1"/>
  <c r="AO10" i="15" s="1"/>
  <c r="AK10" i="15"/>
  <c r="AM9" i="15"/>
  <c r="AN9" i="15" s="1"/>
  <c r="AO9" i="15" s="1"/>
  <c r="AK9" i="15"/>
  <c r="AM8" i="15"/>
  <c r="AN8" i="15" s="1"/>
  <c r="AO8" i="15" s="1"/>
  <c r="AK8" i="15"/>
  <c r="AM7" i="15"/>
  <c r="AN7" i="15" s="1"/>
  <c r="AO7" i="15" s="1"/>
  <c r="AK7" i="15"/>
  <c r="AM6" i="15"/>
  <c r="AN6" i="15" s="1"/>
  <c r="AO6" i="15" s="1"/>
  <c r="AK6" i="15"/>
  <c r="AM5" i="15"/>
  <c r="AN5" i="15" s="1"/>
  <c r="AK5" i="15"/>
  <c r="AD16" i="15"/>
  <c r="AE16" i="15" s="1"/>
  <c r="AB6" i="15"/>
  <c r="AB7" i="15"/>
  <c r="AB8" i="15"/>
  <c r="AB9" i="15"/>
  <c r="AB10" i="15"/>
  <c r="AB11" i="15"/>
  <c r="AB12" i="15"/>
  <c r="AB13" i="15"/>
  <c r="AB14" i="15"/>
  <c r="AB15" i="15"/>
  <c r="AB16" i="15"/>
  <c r="AB17" i="15"/>
  <c r="AB18" i="15"/>
  <c r="AB19" i="15"/>
  <c r="AB5" i="15"/>
  <c r="AA6" i="15"/>
  <c r="AA7" i="15"/>
  <c r="AA8" i="15"/>
  <c r="AA9" i="15"/>
  <c r="AA10" i="15"/>
  <c r="AA11" i="15"/>
  <c r="AA12" i="15"/>
  <c r="AA13" i="15"/>
  <c r="AA20" i="15" s="1"/>
  <c r="AA14" i="15"/>
  <c r="AA15" i="15"/>
  <c r="AA16" i="15"/>
  <c r="AA17" i="15"/>
  <c r="AA18" i="15"/>
  <c r="AA19" i="15"/>
  <c r="AA5" i="15"/>
  <c r="AC19" i="15"/>
  <c r="AD19" i="15" s="1"/>
  <c r="AE19" i="15" s="1"/>
  <c r="AC18" i="15"/>
  <c r="AD18" i="15" s="1"/>
  <c r="AE18" i="15" s="1"/>
  <c r="AC17" i="15"/>
  <c r="AD17" i="15" s="1"/>
  <c r="AE17" i="15" s="1"/>
  <c r="AC16" i="15"/>
  <c r="AC15" i="15"/>
  <c r="AD15" i="15" s="1"/>
  <c r="AE15" i="15" s="1"/>
  <c r="AC14" i="15"/>
  <c r="AD14" i="15" s="1"/>
  <c r="AE14" i="15" s="1"/>
  <c r="AC13" i="15"/>
  <c r="AD13" i="15" s="1"/>
  <c r="AE13" i="15" s="1"/>
  <c r="AC12" i="15"/>
  <c r="AD12" i="15" s="1"/>
  <c r="AE12" i="15" s="1"/>
  <c r="AC11" i="15"/>
  <c r="AD11" i="15" s="1"/>
  <c r="AE11" i="15" s="1"/>
  <c r="AC10" i="15"/>
  <c r="AD10" i="15" s="1"/>
  <c r="AE10" i="15" s="1"/>
  <c r="AC9" i="15"/>
  <c r="AD9" i="15" s="1"/>
  <c r="AE9" i="15" s="1"/>
  <c r="AC8" i="15"/>
  <c r="AD8" i="15" s="1"/>
  <c r="AE8" i="15" s="1"/>
  <c r="AC7" i="15"/>
  <c r="AD7" i="15" s="1"/>
  <c r="AE7" i="15" s="1"/>
  <c r="AC6" i="15"/>
  <c r="AD6" i="15" s="1"/>
  <c r="AE6" i="15" s="1"/>
  <c r="AC5" i="15"/>
  <c r="AD5" i="15" s="1"/>
  <c r="AE5" i="15" s="1"/>
  <c r="T6" i="15"/>
  <c r="U6" i="15" s="1"/>
  <c r="T7" i="15"/>
  <c r="U7" i="15" s="1"/>
  <c r="T8" i="15"/>
  <c r="U8" i="15" s="1"/>
  <c r="T9" i="15"/>
  <c r="T10" i="15"/>
  <c r="T11" i="15"/>
  <c r="U11" i="15" s="1"/>
  <c r="T12" i="15"/>
  <c r="U12" i="15" s="1"/>
  <c r="T13" i="15"/>
  <c r="U13" i="15" s="1"/>
  <c r="T14" i="15"/>
  <c r="U14" i="15" s="1"/>
  <c r="T15" i="15"/>
  <c r="U15" i="15" s="1"/>
  <c r="T16" i="15"/>
  <c r="U16" i="15" s="1"/>
  <c r="T17" i="15"/>
  <c r="T18" i="15"/>
  <c r="T19" i="15"/>
  <c r="U19" i="15" s="1"/>
  <c r="T5" i="15"/>
  <c r="Q19" i="15"/>
  <c r="Q18" i="15"/>
  <c r="Q17" i="15"/>
  <c r="Q16" i="15"/>
  <c r="Q15" i="15"/>
  <c r="Q14" i="15"/>
  <c r="Q13" i="15"/>
  <c r="Q12" i="15"/>
  <c r="Q11" i="15"/>
  <c r="Q10" i="15"/>
  <c r="Q9" i="15"/>
  <c r="Q8" i="15"/>
  <c r="Q7" i="15"/>
  <c r="Q6" i="15"/>
  <c r="Q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5" i="15"/>
  <c r="S6" i="15"/>
  <c r="S14" i="15"/>
  <c r="R6" i="15"/>
  <c r="R7" i="15"/>
  <c r="S7" i="15" s="1"/>
  <c r="R8" i="15"/>
  <c r="S8" i="15" s="1"/>
  <c r="R9" i="15"/>
  <c r="S9" i="15" s="1"/>
  <c r="R10" i="15"/>
  <c r="S10" i="15" s="1"/>
  <c r="R11" i="15"/>
  <c r="S11" i="15" s="1"/>
  <c r="R12" i="15"/>
  <c r="S12" i="15" s="1"/>
  <c r="R13" i="15"/>
  <c r="S13" i="15" s="1"/>
  <c r="R14" i="15"/>
  <c r="R15" i="15"/>
  <c r="S15" i="15" s="1"/>
  <c r="R16" i="15"/>
  <c r="S16" i="15" s="1"/>
  <c r="R17" i="15"/>
  <c r="S17" i="15" s="1"/>
  <c r="R18" i="15"/>
  <c r="S18" i="15" s="1"/>
  <c r="R19" i="15"/>
  <c r="S19" i="15" s="1"/>
  <c r="R5" i="15"/>
  <c r="S5" i="15" s="1"/>
  <c r="I5" i="15"/>
  <c r="J5" i="15" s="1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5" i="15"/>
  <c r="U18" i="15"/>
  <c r="U17" i="15"/>
  <c r="U10" i="15"/>
  <c r="U9" i="15"/>
  <c r="I6" i="15"/>
  <c r="I7" i="15"/>
  <c r="J7" i="15" s="1"/>
  <c r="I8" i="15"/>
  <c r="J8" i="15" s="1"/>
  <c r="I9" i="15"/>
  <c r="J9" i="15" s="1"/>
  <c r="I10" i="15"/>
  <c r="J10" i="15" s="1"/>
  <c r="I11" i="15"/>
  <c r="J11" i="15" s="1"/>
  <c r="I12" i="15"/>
  <c r="J12" i="15" s="1"/>
  <c r="I13" i="15"/>
  <c r="J13" i="15" s="1"/>
  <c r="I14" i="15"/>
  <c r="J14" i="15" s="1"/>
  <c r="I15" i="15"/>
  <c r="J15" i="15" s="1"/>
  <c r="I16" i="15"/>
  <c r="J16" i="15" s="1"/>
  <c r="I17" i="15"/>
  <c r="J17" i="15" s="1"/>
  <c r="I18" i="15"/>
  <c r="J18" i="15" s="1"/>
  <c r="I19" i="15"/>
  <c r="J19" i="15" s="1"/>
  <c r="BC25" i="11" l="1"/>
  <c r="BF23" i="11"/>
  <c r="BF15" i="11"/>
  <c r="BF22" i="11"/>
  <c r="BF14" i="11"/>
  <c r="BC24" i="11"/>
  <c r="BF21" i="11"/>
  <c r="BF13" i="11"/>
  <c r="BB24" i="11"/>
  <c r="BF20" i="11"/>
  <c r="BF12" i="11"/>
  <c r="BF19" i="11"/>
  <c r="BF11" i="11"/>
  <c r="BE9" i="11"/>
  <c r="BF18" i="11"/>
  <c r="BF10" i="11"/>
  <c r="BE16" i="11"/>
  <c r="BF17" i="11"/>
  <c r="BB25" i="11"/>
  <c r="BF9" i="11"/>
  <c r="BF16" i="11"/>
  <c r="BD17" i="11"/>
  <c r="BE17" i="11"/>
  <c r="BE23" i="11"/>
  <c r="BE15" i="11"/>
  <c r="BE22" i="11"/>
  <c r="BE14" i="11"/>
  <c r="BE21" i="11"/>
  <c r="BE13" i="11"/>
  <c r="BE20" i="11"/>
  <c r="BE12" i="11"/>
  <c r="BE19" i="11"/>
  <c r="BE11" i="11"/>
  <c r="BE18" i="11"/>
  <c r="BE10" i="11"/>
  <c r="BD9" i="11"/>
  <c r="BD16" i="11"/>
  <c r="BD23" i="11"/>
  <c r="BD15" i="11"/>
  <c r="BD22" i="11"/>
  <c r="BD14" i="11"/>
  <c r="BD21" i="11"/>
  <c r="BD13" i="11"/>
  <c r="BD20" i="11"/>
  <c r="BD12" i="11"/>
  <c r="BD19" i="11"/>
  <c r="BD11" i="11"/>
  <c r="BD18" i="11"/>
  <c r="BD10" i="11"/>
  <c r="K96" i="11"/>
  <c r="AU25" i="11"/>
  <c r="AS25" i="11"/>
  <c r="AS24" i="11"/>
  <c r="AT24" i="11"/>
  <c r="AH25" i="11"/>
  <c r="AU24" i="11"/>
  <c r="AT25" i="11"/>
  <c r="BA24" i="11"/>
  <c r="BA25" i="11"/>
  <c r="AQ24" i="11"/>
  <c r="V20" i="11"/>
  <c r="V12" i="11"/>
  <c r="W20" i="11"/>
  <c r="AJ25" i="11"/>
  <c r="V15" i="11"/>
  <c r="AH24" i="11"/>
  <c r="AK25" i="11"/>
  <c r="V19" i="11"/>
  <c r="V10" i="11"/>
  <c r="AG25" i="11"/>
  <c r="AJ24" i="11"/>
  <c r="V18" i="11"/>
  <c r="V17" i="11"/>
  <c r="V16" i="11"/>
  <c r="AG24" i="11"/>
  <c r="AI11" i="11"/>
  <c r="AI24" i="11" s="1"/>
  <c r="AR25" i="11"/>
  <c r="V23" i="11"/>
  <c r="V14" i="11"/>
  <c r="AK24" i="11"/>
  <c r="V22" i="11"/>
  <c r="AQ25" i="11"/>
  <c r="AR24" i="11"/>
  <c r="W13" i="11"/>
  <c r="U24" i="11"/>
  <c r="W18" i="11"/>
  <c r="W10" i="11"/>
  <c r="W12" i="11"/>
  <c r="W19" i="11"/>
  <c r="W11" i="11"/>
  <c r="U25" i="11"/>
  <c r="W17" i="11"/>
  <c r="W9" i="11"/>
  <c r="W15" i="11"/>
  <c r="W22" i="11"/>
  <c r="W14" i="11"/>
  <c r="W16" i="11"/>
  <c r="X16" i="11" s="1"/>
  <c r="W23" i="11"/>
  <c r="W21" i="11"/>
  <c r="V9" i="11"/>
  <c r="V13" i="11"/>
  <c r="V21" i="11"/>
  <c r="T25" i="11"/>
  <c r="V11" i="11"/>
  <c r="T24" i="11"/>
  <c r="N25" i="11"/>
  <c r="M25" i="11"/>
  <c r="M24" i="11"/>
  <c r="N24" i="11"/>
  <c r="F25" i="11"/>
  <c r="F24" i="11"/>
  <c r="AV20" i="15"/>
  <c r="AL20" i="15"/>
  <c r="AK20" i="15"/>
  <c r="AU20" i="15"/>
  <c r="AX5" i="15"/>
  <c r="AW21" i="15"/>
  <c r="AW20" i="15"/>
  <c r="AU21" i="15"/>
  <c r="AV21" i="15"/>
  <c r="AO5" i="15"/>
  <c r="AN21" i="15"/>
  <c r="AN20" i="15"/>
  <c r="AM20" i="15"/>
  <c r="AK21" i="15"/>
  <c r="AL21" i="15"/>
  <c r="AM21" i="15"/>
  <c r="AD21" i="15"/>
  <c r="AD20" i="15"/>
  <c r="Q21" i="15"/>
  <c r="I21" i="15"/>
  <c r="H20" i="15"/>
  <c r="Q20" i="15"/>
  <c r="AB20" i="15"/>
  <c r="S21" i="15"/>
  <c r="AC21" i="15"/>
  <c r="J6" i="15"/>
  <c r="J21" i="15" s="1"/>
  <c r="I20" i="15"/>
  <c r="AC20" i="15"/>
  <c r="R21" i="15"/>
  <c r="AA21" i="15"/>
  <c r="AB21" i="15"/>
  <c r="T21" i="15"/>
  <c r="S20" i="15"/>
  <c r="H21" i="15"/>
  <c r="R20" i="15"/>
  <c r="T20" i="15"/>
  <c r="U5" i="15"/>
  <c r="BE24" i="11" l="1"/>
  <c r="BE25" i="11"/>
  <c r="BD25" i="11"/>
  <c r="BD24" i="11"/>
  <c r="BF25" i="11"/>
  <c r="BF24" i="11"/>
  <c r="X22" i="11"/>
  <c r="X15" i="11"/>
  <c r="X17" i="11"/>
  <c r="X20" i="11"/>
  <c r="X19" i="11"/>
  <c r="X11" i="11"/>
  <c r="X13" i="11"/>
  <c r="X12" i="11"/>
  <c r="X23" i="11"/>
  <c r="X18" i="11"/>
  <c r="X10" i="11"/>
  <c r="X14" i="11"/>
  <c r="AI25" i="11"/>
  <c r="X9" i="11"/>
  <c r="W25" i="11"/>
  <c r="W24" i="11"/>
  <c r="X21" i="11"/>
  <c r="V25" i="11"/>
  <c r="V24" i="11"/>
  <c r="AX21" i="15"/>
  <c r="AX20" i="15"/>
  <c r="AO21" i="15"/>
  <c r="AO20" i="15"/>
  <c r="J20" i="15"/>
  <c r="AE21" i="15"/>
  <c r="AE20" i="15"/>
  <c r="U21" i="15"/>
  <c r="U20" i="15"/>
  <c r="X25" i="11" l="1"/>
  <c r="BG25" i="11"/>
  <c r="BG24" i="11"/>
  <c r="X24" i="11"/>
  <c r="S29" i="11"/>
  <c r="S32" i="11" s="1"/>
  <c r="G21" i="15"/>
  <c r="G20" i="15"/>
  <c r="E21" i="15"/>
  <c r="E20" i="15"/>
  <c r="D21" i="15"/>
  <c r="C21" i="15"/>
  <c r="D20" i="15"/>
  <c r="C20" i="15"/>
  <c r="E40" i="10" l="1"/>
  <c r="D41" i="10"/>
  <c r="D40" i="10"/>
  <c r="C41" i="10"/>
  <c r="C40" i="10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7" i="1"/>
  <c r="Q7" i="1" s="1"/>
  <c r="G7" i="1"/>
  <c r="B6" i="7"/>
  <c r="C22" i="10"/>
  <c r="U8" i="1"/>
  <c r="U9" i="1"/>
  <c r="V9" i="1" s="1"/>
  <c r="U10" i="1"/>
  <c r="V10" i="1" s="1"/>
  <c r="U11" i="1"/>
  <c r="V11" i="1" s="1"/>
  <c r="U12" i="1"/>
  <c r="V12" i="1" s="1"/>
  <c r="U13" i="1"/>
  <c r="V13" i="1" s="1"/>
  <c r="U14" i="1"/>
  <c r="V14" i="1" s="1"/>
  <c r="U15" i="1"/>
  <c r="U16" i="1"/>
  <c r="U17" i="1"/>
  <c r="U18" i="1"/>
  <c r="U19" i="1"/>
  <c r="V19" i="1" s="1"/>
  <c r="U20" i="1"/>
  <c r="V20" i="1" s="1"/>
  <c r="U21" i="1"/>
  <c r="V21" i="1" s="1"/>
  <c r="U7" i="1"/>
  <c r="G53" i="5"/>
  <c r="F53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38" i="5"/>
  <c r="V18" i="1" l="1"/>
  <c r="V17" i="1"/>
  <c r="V16" i="1"/>
  <c r="V8" i="1"/>
  <c r="U22" i="1"/>
  <c r="V15" i="1"/>
  <c r="V7" i="1"/>
  <c r="V22" i="1" s="1"/>
  <c r="H11" i="8"/>
  <c r="B41" i="10" l="1"/>
  <c r="B40" i="10"/>
  <c r="B8" i="9"/>
  <c r="I11" i="8"/>
  <c r="B13" i="8"/>
  <c r="B12" i="8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7" i="1"/>
  <c r="E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7" i="1"/>
  <c r="E8" i="6"/>
  <c r="E7" i="6"/>
  <c r="B2" i="6"/>
  <c r="B64" i="5"/>
  <c r="B63" i="5"/>
  <c r="B62" i="5"/>
  <c r="D23" i="1"/>
  <c r="O12" i="1" s="1"/>
  <c r="F22" i="1" l="1"/>
  <c r="H22" i="1"/>
  <c r="F23" i="1"/>
  <c r="B3" i="7" s="1"/>
  <c r="B5" i="7"/>
  <c r="H23" i="1"/>
  <c r="O15" i="1"/>
  <c r="B4" i="5"/>
  <c r="O7" i="1"/>
  <c r="O14" i="1"/>
  <c r="O19" i="1"/>
  <c r="O11" i="1"/>
  <c r="O18" i="1"/>
  <c r="O10" i="1"/>
  <c r="O17" i="1"/>
  <c r="O9" i="1"/>
  <c r="O16" i="1"/>
  <c r="O8" i="1"/>
  <c r="O21" i="1"/>
  <c r="O13" i="1"/>
  <c r="O20" i="1"/>
  <c r="O22" i="1" l="1"/>
  <c r="C22" i="1"/>
  <c r="D22" i="1"/>
  <c r="B2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C23" i="1"/>
  <c r="B23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B7" i="9" l="1"/>
  <c r="R8" i="1"/>
  <c r="R16" i="1"/>
  <c r="R9" i="1"/>
  <c r="R17" i="1"/>
  <c r="R10" i="1"/>
  <c r="R18" i="1"/>
  <c r="R11" i="1"/>
  <c r="R19" i="1"/>
  <c r="R12" i="1"/>
  <c r="R20" i="1"/>
  <c r="R13" i="1"/>
  <c r="R21" i="1"/>
  <c r="R14" i="1"/>
  <c r="R7" i="1"/>
  <c r="R15" i="1"/>
  <c r="B4" i="7"/>
  <c r="W13" i="1"/>
  <c r="W21" i="1"/>
  <c r="T8" i="1"/>
  <c r="T16" i="1"/>
  <c r="S9" i="1"/>
  <c r="S17" i="1"/>
  <c r="W14" i="1"/>
  <c r="T9" i="1"/>
  <c r="T17" i="1"/>
  <c r="S10" i="1"/>
  <c r="S18" i="1"/>
  <c r="W7" i="1"/>
  <c r="T10" i="1"/>
  <c r="T18" i="1"/>
  <c r="S11" i="1"/>
  <c r="S19" i="1"/>
  <c r="T11" i="1"/>
  <c r="T19" i="1"/>
  <c r="S12" i="1"/>
  <c r="S20" i="1"/>
  <c r="T12" i="1"/>
  <c r="T20" i="1"/>
  <c r="S13" i="1"/>
  <c r="S21" i="1"/>
  <c r="T13" i="1"/>
  <c r="T21" i="1"/>
  <c r="S14" i="1"/>
  <c r="S7" i="1"/>
  <c r="W11" i="1"/>
  <c r="W19" i="1"/>
  <c r="T14" i="1"/>
  <c r="T7" i="1"/>
  <c r="S15" i="1"/>
  <c r="T15" i="1"/>
  <c r="S16" i="1"/>
  <c r="W9" i="1"/>
  <c r="W10" i="1"/>
  <c r="S8" i="1"/>
  <c r="W18" i="1"/>
  <c r="W16" i="1"/>
  <c r="W15" i="1"/>
  <c r="W20" i="1"/>
  <c r="W12" i="1"/>
  <c r="W17" i="1"/>
  <c r="W8" i="1"/>
  <c r="B7" i="5"/>
  <c r="B10" i="5" s="1"/>
  <c r="B10" i="7"/>
  <c r="B12" i="7" s="1"/>
  <c r="E22" i="1"/>
  <c r="G22" i="1"/>
  <c r="N13" i="1"/>
  <c r="N21" i="1"/>
  <c r="N14" i="1"/>
  <c r="N7" i="1"/>
  <c r="N9" i="1"/>
  <c r="N17" i="1"/>
  <c r="B3" i="5"/>
  <c r="N10" i="1"/>
  <c r="N18" i="1"/>
  <c r="N11" i="1"/>
  <c r="N19" i="1"/>
  <c r="N12" i="1"/>
  <c r="N20" i="1"/>
  <c r="N15" i="1"/>
  <c r="N8" i="1"/>
  <c r="N16" i="1"/>
  <c r="M8" i="1"/>
  <c r="B59" i="5"/>
  <c r="G23" i="1"/>
  <c r="E23" i="1"/>
  <c r="M14" i="1"/>
  <c r="M12" i="1"/>
  <c r="M15" i="1"/>
  <c r="M13" i="1"/>
  <c r="M11" i="1"/>
  <c r="M10" i="1"/>
  <c r="M17" i="1"/>
  <c r="M9" i="1"/>
  <c r="M21" i="1"/>
  <c r="M7" i="1"/>
  <c r="M20" i="1"/>
  <c r="M19" i="1"/>
  <c r="M18" i="1"/>
  <c r="M16" i="1"/>
  <c r="B28" i="1" l="1"/>
  <c r="B4" i="9" s="1"/>
  <c r="W22" i="1"/>
  <c r="R22" i="1"/>
  <c r="B3" i="10" s="1"/>
  <c r="S22" i="1"/>
  <c r="T22" i="1"/>
  <c r="B11" i="10" s="1"/>
  <c r="M22" i="1"/>
  <c r="C13" i="8" s="1"/>
  <c r="B11" i="7"/>
  <c r="B58" i="5"/>
  <c r="N22" i="1"/>
  <c r="B16" i="10" l="1"/>
  <c r="B21" i="10" s="1"/>
  <c r="B5" i="5"/>
  <c r="B8" i="5" s="1"/>
  <c r="B61" i="5" s="1"/>
  <c r="L7" i="1"/>
  <c r="B6" i="5"/>
  <c r="B9" i="5" s="1"/>
  <c r="B60" i="5" s="1"/>
  <c r="L13" i="1" l="1"/>
  <c r="Q13" i="1"/>
  <c r="L21" i="1"/>
  <c r="Q21" i="1"/>
  <c r="L17" i="1"/>
  <c r="Q17" i="1"/>
  <c r="L20" i="1"/>
  <c r="Q20" i="1"/>
  <c r="L12" i="1"/>
  <c r="Q12" i="1"/>
  <c r="L19" i="1"/>
  <c r="Q19" i="1"/>
  <c r="L14" i="1"/>
  <c r="Q14" i="1"/>
  <c r="L16" i="1"/>
  <c r="Q16" i="1"/>
  <c r="L8" i="1"/>
  <c r="Q8" i="1"/>
  <c r="L18" i="1"/>
  <c r="Q18" i="1"/>
  <c r="L15" i="1"/>
  <c r="Q15" i="1"/>
  <c r="B17" i="10"/>
  <c r="B22" i="10" s="1"/>
  <c r="B7" i="6"/>
  <c r="B29" i="1"/>
  <c r="B5" i="9" s="1"/>
  <c r="B11" i="9" s="1"/>
  <c r="B8" i="6" l="1"/>
  <c r="I10" i="1"/>
  <c r="I14" i="1"/>
  <c r="I15" i="1"/>
  <c r="I13" i="1"/>
  <c r="I11" i="1"/>
  <c r="I7" i="1"/>
  <c r="P7" i="1" s="1"/>
  <c r="I18" i="1"/>
  <c r="I21" i="1"/>
  <c r="I8" i="1"/>
  <c r="I16" i="1"/>
  <c r="I20" i="1"/>
  <c r="I17" i="1"/>
  <c r="I19" i="1"/>
  <c r="I12" i="1"/>
  <c r="I9" i="1"/>
  <c r="K7" i="1" l="1"/>
  <c r="K20" i="1"/>
  <c r="P20" i="1"/>
  <c r="P17" i="1"/>
  <c r="K17" i="1"/>
  <c r="K16" i="1"/>
  <c r="P16" i="1"/>
  <c r="K14" i="1"/>
  <c r="P14" i="1"/>
  <c r="K18" i="1"/>
  <c r="P18" i="1"/>
  <c r="P19" i="1"/>
  <c r="K19" i="1"/>
  <c r="K13" i="1"/>
  <c r="P13" i="1"/>
  <c r="P8" i="1"/>
  <c r="K8" i="1"/>
  <c r="K10" i="1"/>
  <c r="P10" i="1"/>
  <c r="K9" i="1"/>
  <c r="P9" i="1"/>
  <c r="P12" i="1"/>
  <c r="K12" i="1"/>
  <c r="K11" i="1"/>
  <c r="P11" i="1"/>
  <c r="K15" i="1"/>
  <c r="P15" i="1"/>
  <c r="K21" i="1"/>
  <c r="P21" i="1"/>
  <c r="P22" i="1" l="1"/>
  <c r="K22" i="1"/>
  <c r="B12" i="9" s="1"/>
  <c r="B14" i="9" l="1"/>
  <c r="B13" i="9"/>
  <c r="C7" i="6"/>
  <c r="C8" i="6" s="1"/>
  <c r="C12" i="8"/>
  <c r="D12" i="8" s="1"/>
  <c r="B31" i="1"/>
  <c r="C11" i="8"/>
  <c r="D11" i="8" s="1"/>
  <c r="E11" i="8" s="1"/>
  <c r="B32" i="1" l="1"/>
  <c r="B4" i="8"/>
  <c r="F11" i="8" s="1"/>
  <c r="D7" i="6"/>
  <c r="G7" i="6"/>
  <c r="H7" i="6"/>
  <c r="D8" i="6"/>
  <c r="F8" i="6" s="1"/>
  <c r="H8" i="6"/>
  <c r="G8" i="6"/>
  <c r="F7" i="6" l="1"/>
  <c r="G11" i="8"/>
  <c r="Q9" i="1" l="1"/>
  <c r="L11" i="1"/>
  <c r="Q11" i="1"/>
  <c r="L10" i="1"/>
  <c r="L22" i="1" s="1"/>
  <c r="B13" i="7" s="1"/>
  <c r="B14" i="7" s="1"/>
  <c r="L9" i="1"/>
  <c r="Q10" i="1"/>
  <c r="Q22" i="1" l="1"/>
  <c r="C21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<sst xmlns="http://schemas.openxmlformats.org/spreadsheetml/2006/main" count="2313" uniqueCount="581">
  <si>
    <t>Имеются следующие данные об уровне розничного товарооборота (млн. руб)</t>
  </si>
  <si>
    <t>объеме промышленного производства (млн. руб)</t>
  </si>
  <si>
    <t>среднедушевом денежном доходе (тыс. руб)</t>
  </si>
  <si>
    <t>в различных населенных пунктах</t>
  </si>
  <si>
    <t>Номер</t>
  </si>
  <si>
    <t>Среднедушевой денежный доход</t>
  </si>
  <si>
    <t>Y - данные об розничном товарообороте</t>
  </si>
  <si>
    <t>X - данные об промышленном производстве</t>
  </si>
  <si>
    <t>Дано:</t>
  </si>
  <si>
    <t>Задачи</t>
  </si>
  <si>
    <t>Парная линейная регрессия</t>
  </si>
  <si>
    <t>b̂₀</t>
  </si>
  <si>
    <r>
      <t>b̂</t>
    </r>
    <r>
      <rPr>
        <sz val="11"/>
        <color theme="1"/>
        <rFont val="Calibri"/>
        <family val="2"/>
        <charset val="204"/>
      </rPr>
      <t>₁</t>
    </r>
  </si>
  <si>
    <t>Объем промышленного производства (X)</t>
  </si>
  <si>
    <t>Среднее</t>
  </si>
  <si>
    <t>Интерпретация</t>
  </si>
  <si>
    <t>Не имеет экономической интерпретации. Так как свободный член меньше нуля, то относительное изменение результата быстрее, чем изменение фактора</t>
  </si>
  <si>
    <t>Эx</t>
  </si>
  <si>
    <t>-</t>
  </si>
  <si>
    <t>Сумма</t>
  </si>
  <si>
    <r>
      <t>r</t>
    </r>
    <r>
      <rPr>
        <sz val="11"/>
        <color theme="1"/>
        <rFont val="Calibri"/>
        <family val="2"/>
        <charset val="204"/>
      </rPr>
      <t>̂</t>
    </r>
    <r>
      <rPr>
        <sz val="11"/>
        <color theme="1"/>
        <rFont val="Calibri"/>
        <family val="2"/>
        <charset val="204"/>
        <scheme val="minor"/>
      </rPr>
      <t>²</t>
    </r>
  </si>
  <si>
    <t>Означает, что вариация фактора (объема промышленного производства) на ~60% объясняет вариацию уровня розничного товарооборота</t>
  </si>
  <si>
    <t>Следовательно, связь тесная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</si>
  <si>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</si>
  <si>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</si>
  <si>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</si>
  <si>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</si>
  <si>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</si>
  <si>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</si>
  <si>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</si>
  <si>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</si>
  <si>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</si>
  <si>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</si>
  <si>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</si>
  <si>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</si>
  <si>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</si>
  <si>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</si>
  <si>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</si>
  <si>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</si>
  <si>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</si>
  <si>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</si>
  <si>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</si>
  <si>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</si>
  <si>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</si>
  <si>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</si>
  <si>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</si>
  <si>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</si>
  <si>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ВЫВОД ОСТАТКА</t>
  </si>
  <si>
    <t>Наблюдение</t>
  </si>
  <si>
    <t>Остатки</t>
  </si>
  <si>
    <t>Стандартные остатки</t>
  </si>
  <si>
    <t>Предсказанное Розничный  товарооброт (Y)</t>
  </si>
  <si>
    <t>Характеризует очень тесную положительную связь между зависимой переменной уровня розничного товарообората и независимых факторов</t>
  </si>
  <si>
    <t>Показывает, что вариация независимых факторов модели регрессии объяняют ~83% вариации уровня розничного товарооборота</t>
  </si>
  <si>
    <t>Скорревтированный коэф. Детерминации, будет важен для выбора лучшей модели, если мы сравниваем модели с разным числом объясняющих переменных</t>
  </si>
  <si>
    <t>Средняя ошибка прогноза, то что мы минимизируем</t>
  </si>
  <si>
    <t>Выводы</t>
  </si>
  <si>
    <t>Значимость p-value (то есть F) крайне мала 0,0000189 по сравнению с уровнем значимости 0.05. Следовательно, отвергаем гипотезу H0 о незначимости коэф. Регрессии на уровне значимости 0.05. Они являются статистически значимыми</t>
  </si>
  <si>
    <t>p-value = 0.32 &gt; 0.05. Следовательно, свободные член статистически незначим на уровне значимости 0.05</t>
  </si>
  <si>
    <r>
      <t>p-value = 0.03 &lt; 0.05. Следовательно, коэф. Регрессии b</t>
    </r>
    <r>
      <rPr>
        <sz val="11"/>
        <color theme="1"/>
        <rFont val="Calibri"/>
        <family val="2"/>
        <charset val="204"/>
      </rPr>
      <t>̂₁</t>
    </r>
    <r>
      <rPr>
        <sz val="10.1"/>
        <color theme="1"/>
        <rFont val="Calibri"/>
        <family val="2"/>
        <charset val="204"/>
      </rPr>
      <t xml:space="preserve"> статистически значим</t>
    </r>
  </si>
  <si>
    <r>
      <t>p-value = 0.0014 &lt;&lt; 0.05. Следовательно, коэф регрессии  b̂</t>
    </r>
    <r>
      <rPr>
        <sz val="11"/>
        <color theme="1"/>
        <rFont val="Calibri"/>
        <family val="2"/>
        <charset val="204"/>
      </rPr>
      <t>₂</t>
    </r>
    <r>
      <rPr>
        <sz val="10.1"/>
        <color theme="1"/>
        <rFont val="Calibri"/>
        <family val="2"/>
        <charset val="204"/>
      </rPr>
      <t xml:space="preserve"> статистически значим. Причем область риска настолько мала, что говорит о сильном влиянии на Y</t>
    </r>
  </si>
  <si>
    <r>
      <t>Эx</t>
    </r>
    <r>
      <rPr>
        <sz val="11"/>
        <color theme="1"/>
        <rFont val="Calibri"/>
        <family val="2"/>
        <charset val="204"/>
      </rPr>
      <t>₁</t>
    </r>
  </si>
  <si>
    <r>
      <t>Эx</t>
    </r>
    <r>
      <rPr>
        <sz val="11"/>
        <color theme="1"/>
        <rFont val="Calibri"/>
        <family val="2"/>
        <charset val="204"/>
      </rPr>
      <t>₂</t>
    </r>
  </si>
  <si>
    <t>Статистические характеристики</t>
  </si>
  <si>
    <r>
      <t>y</t>
    </r>
    <r>
      <rPr>
        <sz val="11"/>
        <color theme="1"/>
        <rFont val="Calibri"/>
        <family val="2"/>
        <charset val="204"/>
      </rPr>
      <t>̄</t>
    </r>
  </si>
  <si>
    <r>
      <t>x</t>
    </r>
    <r>
      <rPr>
        <sz val="11"/>
        <color theme="1"/>
        <rFont val="Calibri"/>
        <family val="2"/>
        <charset val="204"/>
      </rPr>
      <t>̄₁</t>
    </r>
  </si>
  <si>
    <r>
      <t>x</t>
    </r>
    <r>
      <rPr>
        <sz val="11"/>
        <color theme="1"/>
        <rFont val="Calibri"/>
        <family val="2"/>
        <charset val="204"/>
      </rPr>
      <t>̄₂</t>
    </r>
  </si>
  <si>
    <t>Значения</t>
  </si>
  <si>
    <t>σx₂</t>
  </si>
  <si>
    <t>σx₁</t>
  </si>
  <si>
    <t>σy</t>
  </si>
  <si>
    <r>
      <t>σ</t>
    </r>
    <r>
      <rPr>
        <sz val="11"/>
        <color theme="1"/>
        <rFont val="Calibri"/>
        <family val="2"/>
        <charset val="204"/>
      </rPr>
      <t>²</t>
    </r>
    <r>
      <rPr>
        <sz val="11"/>
        <color theme="1"/>
        <rFont val="Calibri"/>
        <family val="2"/>
        <charset val="204"/>
        <scheme val="minor"/>
      </rPr>
      <t>x₁</t>
    </r>
  </si>
  <si>
    <r>
      <t>σ</t>
    </r>
    <r>
      <rPr>
        <sz val="11"/>
        <color theme="1"/>
        <rFont val="Calibri"/>
        <family val="2"/>
        <charset val="204"/>
      </rPr>
      <t>²</t>
    </r>
    <r>
      <rPr>
        <sz val="11"/>
        <color theme="1"/>
        <rFont val="Calibri"/>
        <family val="2"/>
        <charset val="204"/>
        <scheme val="minor"/>
      </rPr>
      <t>x₂</t>
    </r>
  </si>
  <si>
    <r>
      <t>σ</t>
    </r>
    <r>
      <rPr>
        <sz val="11"/>
        <color theme="1"/>
        <rFont val="Calibri"/>
        <family val="2"/>
        <charset val="204"/>
      </rPr>
      <t>²</t>
    </r>
    <r>
      <rPr>
        <sz val="11"/>
        <color theme="1"/>
        <rFont val="Calibri"/>
        <family val="2"/>
        <charset val="204"/>
        <scheme val="minor"/>
      </rPr>
      <t>y</t>
    </r>
  </si>
  <si>
    <t>Уравнение регрессии</t>
  </si>
  <si>
    <t>y = -30.49 + 0.303x₁ + 4.579x₂</t>
  </si>
  <si>
    <r>
      <t>Э(x</t>
    </r>
    <r>
      <rPr>
        <sz val="11"/>
        <color theme="1"/>
        <rFont val="Calibri"/>
        <family val="2"/>
        <charset val="204"/>
      </rPr>
      <t>₁</t>
    </r>
    <r>
      <rPr>
        <sz val="11.35"/>
        <color theme="1"/>
        <rFont val="Calibri"/>
        <family val="2"/>
        <charset val="204"/>
      </rPr>
      <t>=300</t>
    </r>
    <r>
      <rPr>
        <sz val="11"/>
        <color theme="1"/>
        <rFont val="Calibri"/>
        <family val="2"/>
        <charset val="204"/>
        <scheme val="minor"/>
      </rPr>
      <t>)</t>
    </r>
  </si>
  <si>
    <t>y(x₁=300, x₂=20)</t>
  </si>
  <si>
    <r>
      <t>Э(x</t>
    </r>
    <r>
      <rPr>
        <sz val="11"/>
        <color theme="1"/>
        <rFont val="Calibri"/>
        <family val="2"/>
        <charset val="204"/>
      </rPr>
      <t>₂</t>
    </r>
    <r>
      <rPr>
        <sz val="11"/>
        <color theme="1"/>
        <rFont val="Calibri"/>
        <family val="2"/>
        <charset val="204"/>
        <scheme val="minor"/>
      </rPr>
      <t>=20)</t>
    </r>
  </si>
  <si>
    <t>При изменении значения объема промышленного производсва на 1% от среднего уровень розничного товарооборота изменится на ~0.56% при неизменном среднедушевом денежном заработке</t>
  </si>
  <si>
    <t>При изменении значения среднедушевого денежного заработка на 1% от среднего уровень розничного товарооборота изменится на ~0.62% при неимзенном объеме промышленного производства</t>
  </si>
  <si>
    <t>При изменении значения среднедушевого денежного заработка на 1% от 20 тыс. руб уровень розничного товарооборота изменится на ~0.6% тыс. руб при неимзенном объеме промышленного производства</t>
  </si>
  <si>
    <t>При изменении значения объема промышленного производсва на 1% от 300 млн. руб уровень розничного товарооборота изменится на ~0.598% млн. руб при неизменном среднедушевом денежном заработке</t>
  </si>
  <si>
    <t>β₁</t>
  </si>
  <si>
    <r>
      <t>β</t>
    </r>
    <r>
      <rPr>
        <sz val="11"/>
        <color theme="1"/>
        <rFont val="Calibri"/>
        <family val="2"/>
        <charset val="204"/>
      </rPr>
      <t>₂</t>
    </r>
  </si>
  <si>
    <t>При изменении объема промышленного производства на 1 сигму от среднего, уровень розничного товарооборота увеличится на 0.38 сигм при неизменном объеме среднедушевого денежного заработка</t>
  </si>
  <si>
    <t>При изменении объема среднедушевого денежного заработка на 1 сигму от среднего, уровень розничного товарооборота увеличится на 0.62 сигмы при неизменном объеме промышленного производства</t>
  </si>
  <si>
    <t>При изменении среднедушевого денежного заработка на 1 тыс. руб (1 млн. руб) уровень розничного товарооборота увеличится в среднем на 4.579 тыс. руб (4.579 млн. руб) при неимзенном объеме промышленного производства</t>
  </si>
  <si>
    <t xml:space="preserve"> Оцените значимость  коэффициента регрессии двумя способами с помощью LO Calk. Сделайте выводы.</t>
  </si>
  <si>
    <t> Оцените значимость  свободного члена двумя способами с помощью LO Calk Сделайте выводы.</t>
  </si>
  <si>
    <t>b̂₁</t>
  </si>
  <si>
    <t>Требуется оценить</t>
  </si>
  <si>
    <t>se(*)</t>
  </si>
  <si>
    <r>
      <t>t</t>
    </r>
    <r>
      <rPr>
        <vertAlign val="subscript"/>
        <sz val="11"/>
        <color theme="1"/>
        <rFont val="Calibri"/>
        <family val="2"/>
        <charset val="204"/>
        <scheme val="minor"/>
      </rPr>
      <t>факт.</t>
    </r>
  </si>
  <si>
    <r>
      <t>t</t>
    </r>
    <r>
      <rPr>
        <vertAlign val="subscript"/>
        <sz val="11"/>
        <color theme="1"/>
        <rFont val="Calibri"/>
        <family val="2"/>
        <charset val="204"/>
        <scheme val="minor"/>
      </rPr>
      <t>крит.</t>
    </r>
  </si>
  <si>
    <r>
      <t>(x</t>
    </r>
    <r>
      <rPr>
        <sz val="11"/>
        <color theme="1"/>
        <rFont val="Calibri"/>
        <family val="2"/>
        <charset val="204"/>
      </rPr>
      <t>₁</t>
    </r>
    <r>
      <rPr>
        <vertAlign val="subscript"/>
        <sz val="11"/>
        <color theme="1"/>
        <rFont val="Calibri"/>
        <family val="2"/>
        <charset val="204"/>
      </rPr>
      <t>i</t>
    </r>
    <r>
      <rPr>
        <sz val="11"/>
        <color theme="1"/>
        <rFont val="Calibri"/>
        <family val="2"/>
        <charset val="204"/>
        <scheme val="minor"/>
      </rPr>
      <t>-x̄</t>
    </r>
    <r>
      <rPr>
        <sz val="11"/>
        <color theme="1"/>
        <rFont val="Calibri"/>
        <family val="2"/>
        <charset val="204"/>
      </rPr>
      <t>₁</t>
    </r>
    <r>
      <rPr>
        <sz val="11"/>
        <color theme="1"/>
        <rFont val="Calibri"/>
        <family val="2"/>
        <charset val="204"/>
        <scheme val="minor"/>
      </rPr>
      <t>)²</t>
    </r>
  </si>
  <si>
    <r>
      <t>(x</t>
    </r>
    <r>
      <rPr>
        <sz val="11"/>
        <color theme="1"/>
        <rFont val="Calibri"/>
        <family val="2"/>
        <charset val="204"/>
      </rPr>
      <t>₂</t>
    </r>
    <r>
      <rPr>
        <vertAlign val="subscript"/>
        <sz val="11"/>
        <color theme="1"/>
        <rFont val="Calibri"/>
        <family val="2"/>
        <charset val="204"/>
      </rPr>
      <t>i</t>
    </r>
    <r>
      <rPr>
        <sz val="11"/>
        <color theme="1"/>
        <rFont val="Calibri"/>
        <family val="2"/>
        <charset val="204"/>
        <scheme val="minor"/>
      </rPr>
      <t>-x̄</t>
    </r>
    <r>
      <rPr>
        <sz val="11"/>
        <color theme="1"/>
        <rFont val="Calibri"/>
        <family val="2"/>
        <charset val="204"/>
      </rPr>
      <t>₂</t>
    </r>
    <r>
      <rPr>
        <sz val="11"/>
        <color theme="1"/>
        <rFont val="Calibri"/>
        <family val="2"/>
        <charset val="204"/>
        <scheme val="minor"/>
      </rPr>
      <t>)²</t>
    </r>
  </si>
  <si>
    <t>α</t>
  </si>
  <si>
    <t>p-value (%)</t>
  </si>
  <si>
    <t>Через p-value (сравнение tфакт и tкрит)</t>
  </si>
  <si>
    <t>Входные данные</t>
  </si>
  <si>
    <t>n</t>
  </si>
  <si>
    <t>Через доверительный интервал</t>
  </si>
  <si>
    <t>Левая граница</t>
  </si>
  <si>
    <t>Правая граница</t>
  </si>
  <si>
    <t>1 способ</t>
  </si>
  <si>
    <t>2 способ</t>
  </si>
  <si>
    <t>Истинное значение коэф. Регресси лежит в интервале [0,32; 0,92] с вероятностью ошибки 0.05</t>
  </si>
  <si>
    <t>Задание</t>
  </si>
  <si>
    <t xml:space="preserve">p-value &lt; 5%, следовательно, отвергаем H0 о незначимости коэф регрессии. Иными словами, нет оснований отвергать гипотезу о значимости коэф регрессии на уровне значимости 0.05
(tфакт. &gt;  tкрит. Следовательно, отвергаем гипотезу H0 о незначимости коэф. регрессии)
</t>
  </si>
  <si>
    <t>p-value &gt; 5%, следовательно,
не отвергаем гипотезу H0 о незначимости свободного члена на уровне значимости 0,05
(tфакт. &lt;  tкрит. Следовательно, не отвергаем гипотезу H0 о незначимости свободного члена)</t>
  </si>
  <si>
    <t>Истинное значение коэф.
Регресси лежит в интервале [-118,8; 72,7] с вероятностью ошибки 0.05. Как видно, интервал достаточно широкий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</si>
  <si>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1i</t>
    </r>
    <r>
      <rPr>
        <sz val="11"/>
        <color theme="1"/>
        <rFont val="Calibri"/>
        <family val="2"/>
        <charset val="204"/>
        <scheme val="minor"/>
      </rPr>
      <t>²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</si>
  <si>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2i</t>
    </r>
    <r>
      <rPr>
        <sz val="11"/>
        <color theme="1"/>
        <rFont val="Calibri"/>
        <family val="2"/>
        <charset val="204"/>
        <scheme val="minor"/>
      </rPr>
      <t>²</t>
    </r>
  </si>
  <si>
    <t>R̂²</t>
  </si>
  <si>
    <t>r̂²</t>
  </si>
  <si>
    <t>Найдите параметры уравнения линейной регрессии розничного товарооборота от среднедушевого денежного дохода. Сделайте выводы.</t>
  </si>
  <si>
    <t>Найдите коэффициент корреляции и детерминации. Сделайте выводы.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</si>
  <si>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1i</t>
    </r>
    <r>
      <rPr>
        <sz val="11"/>
        <color theme="1"/>
        <rFont val="Calibri"/>
        <family val="2"/>
        <charset val="204"/>
        <scheme val="minor"/>
      </rPr>
      <t xml:space="preserve"> * y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</si>
  <si>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2i</t>
    </r>
    <r>
      <rPr>
        <sz val="11"/>
        <color theme="1"/>
        <rFont val="Calibri"/>
        <family val="2"/>
        <charset val="204"/>
        <scheme val="minor"/>
      </rPr>
      <t xml:space="preserve"> * y</t>
    </r>
  </si>
  <si>
    <r>
      <t>(x</t>
    </r>
    <r>
      <rPr>
        <vertAlign val="subscript"/>
        <sz val="11"/>
        <color theme="1"/>
        <rFont val="Calibri"/>
        <family val="2"/>
        <charset val="204"/>
      </rPr>
      <t>2i</t>
    </r>
    <r>
      <rPr>
        <sz val="11"/>
        <color theme="1"/>
        <rFont val="Calibri"/>
        <family val="2"/>
        <charset val="204"/>
      </rPr>
      <t>*y).ср.</t>
    </r>
  </si>
  <si>
    <r>
      <t>x</t>
    </r>
    <r>
      <rPr>
        <sz val="11"/>
        <color theme="1"/>
        <rFont val="Calibri"/>
        <family val="2"/>
        <charset val="204"/>
      </rPr>
      <t>̄</t>
    </r>
    <r>
      <rPr>
        <vertAlign val="subscript"/>
        <sz val="11"/>
        <color theme="1"/>
        <rFont val="Calibri"/>
        <family val="2"/>
        <charset val="204"/>
        <scheme val="minor"/>
      </rPr>
      <t>2i</t>
    </r>
  </si>
  <si>
    <r>
      <t>σ</t>
    </r>
    <r>
      <rPr>
        <vertAlign val="subscript"/>
        <sz val="11"/>
        <color theme="1"/>
        <rFont val="Calibri"/>
        <family val="2"/>
        <charset val="204"/>
      </rPr>
      <t>x2</t>
    </r>
  </si>
  <si>
    <t>Не имеет экономической интерпретации. Так как свободный член больше нуля, то относительное изменение результата медленне, чем изменение фактора</t>
  </si>
  <si>
    <t>Если среднедушевой денежный заработок изменится на 1% от 23,3 тыс. руб., то розничный товарооборот изменится на ~0,8% от 172,4 млн руб</t>
  </si>
  <si>
    <r>
      <t>ŷ</t>
    </r>
    <r>
      <rPr>
        <sz val="11"/>
        <color theme="1"/>
        <rFont val="Calibri"/>
        <family val="2"/>
        <charset val="204"/>
      </rPr>
      <t>₁</t>
    </r>
  </si>
  <si>
    <r>
      <t>ŷ</t>
    </r>
    <r>
      <rPr>
        <sz val="11"/>
        <color theme="1"/>
        <rFont val="Calibri"/>
        <family val="2"/>
        <charset val="204"/>
      </rPr>
      <t>₂</t>
    </r>
  </si>
  <si>
    <r>
      <t>(y</t>
    </r>
    <r>
      <rPr>
        <sz val="11"/>
        <color theme="1"/>
        <rFont val="Calibri"/>
        <family val="2"/>
        <charset val="204"/>
      </rPr>
      <t>̂₁</t>
    </r>
    <r>
      <rPr>
        <sz val="10"/>
        <color theme="1"/>
        <rFont val="Calibri"/>
        <family val="2"/>
        <charset val="204"/>
        <scheme val="minor"/>
      </rPr>
      <t>-ȳ</t>
    </r>
    <r>
      <rPr>
        <sz val="11"/>
        <color theme="1"/>
        <rFont val="Calibri"/>
        <family val="2"/>
        <charset val="204"/>
        <scheme val="minor"/>
      </rPr>
      <t>)²</t>
    </r>
  </si>
  <si>
    <r>
      <t>(ŷ</t>
    </r>
    <r>
      <rPr>
        <sz val="11"/>
        <color theme="1"/>
        <rFont val="Calibri"/>
        <family val="2"/>
        <charset val="204"/>
      </rPr>
      <t>₂</t>
    </r>
    <r>
      <rPr>
        <sz val="11"/>
        <color theme="1"/>
        <rFont val="Calibri"/>
        <family val="2"/>
        <charset val="204"/>
        <scheme val="minor"/>
      </rPr>
      <t>-ȳ)²</t>
    </r>
  </si>
  <si>
    <r>
      <t>(y</t>
    </r>
    <r>
      <rPr>
        <vertAlign val="subscript"/>
        <sz val="11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charset val="204"/>
        <scheme val="minor"/>
      </rPr>
      <t>-ȳ)²</t>
    </r>
  </si>
  <si>
    <t>Означает, что вариация фактора (среднедушевого денежного заработка) на ~65% объясняет вариацию уровня розничного товарооборота</t>
  </si>
  <si>
    <r>
      <t>(y</t>
    </r>
    <r>
      <rPr>
        <vertAlign val="subscript"/>
        <sz val="11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charset val="204"/>
        <scheme val="minor"/>
      </rPr>
      <t>-y</t>
    </r>
    <r>
      <rPr>
        <sz val="11"/>
        <color theme="1"/>
        <rFont val="Calibri"/>
        <family val="2"/>
        <charset val="204"/>
      </rPr>
      <t>̂₁)²</t>
    </r>
  </si>
  <si>
    <t>По данным домашнего задания 1 оцените значимость коэффициента регрессии и уравнения регрессии в целом. Сделайте выводы.</t>
  </si>
  <si>
    <t>Направление связи положительное, при изменении среднедушевого денежного дохода на 1 млн руб, уровень розничного товарооборота изменится в ту же сторону на ~5,92 млн руб.</t>
  </si>
  <si>
    <t>При изменении объема промышленного производства на 1 млн. руб уровень розничного товарооборота изменится в ту же сторону в среднем на 0.303 млн. руб при неизменном среднедушевом денежном заработке</t>
  </si>
  <si>
    <t>H0</t>
  </si>
  <si>
    <t>H1</t>
  </si>
  <si>
    <t>Уравнение регрессии значимо (хотя бы один коэф регрессии не равен нулю)</t>
  </si>
  <si>
    <t>Уравнение регрессии незначимо (все коэф регрессии равны нулю)</t>
  </si>
  <si>
    <t>Источник информации</t>
  </si>
  <si>
    <r>
      <t>F</t>
    </r>
    <r>
      <rPr>
        <vertAlign val="subscript"/>
        <sz val="11"/>
        <color theme="1"/>
        <rFont val="Calibri"/>
        <family val="2"/>
        <charset val="204"/>
        <scheme val="minor"/>
      </rPr>
      <t>табл.</t>
    </r>
  </si>
  <si>
    <t>Случайное отклонение</t>
  </si>
  <si>
    <t>Общая</t>
  </si>
  <si>
    <t>Значение</t>
  </si>
  <si>
    <t>Таблица дисперсионного анализа (для парной регрессии из задания 1)</t>
  </si>
  <si>
    <t>Направление связи положительное, при изменении объема промышленного производства на 1 млн руб., уровень розничного товарооборота изменится в ту же сторону на ~0.616 млн. руб</t>
  </si>
  <si>
    <t>Если объем промышленного производства изменится на 1% от 317,2 млн руб., то розничный товарооборот изменится на ~1,13% от 172,4 млн руб</t>
  </si>
  <si>
    <t>Msфакт/Msостат.</t>
  </si>
  <si>
    <t xml:space="preserve"> R̂²</t>
  </si>
  <si>
    <t>Через R̂²</t>
  </si>
  <si>
    <r>
      <t>t</t>
    </r>
    <r>
      <rPr>
        <sz val="11"/>
        <color theme="1"/>
        <rFont val="Calibri"/>
        <family val="2"/>
        <charset val="204"/>
      </rPr>
      <t>²</t>
    </r>
    <r>
      <rPr>
        <vertAlign val="subscript"/>
        <sz val="11"/>
        <color theme="1"/>
        <rFont val="Calibri"/>
        <family val="2"/>
        <charset val="204"/>
      </rPr>
      <t>b̂₂</t>
    </r>
  </si>
  <si>
    <t>Excel</t>
  </si>
  <si>
    <r>
      <t>F</t>
    </r>
    <r>
      <rPr>
        <vertAlign val="subscript"/>
        <sz val="11"/>
        <color theme="1"/>
        <rFont val="Calibri"/>
        <family val="2"/>
        <charset val="204"/>
        <scheme val="minor"/>
      </rPr>
      <t>факт.</t>
    </r>
  </si>
  <si>
    <r>
      <t>Так как F</t>
    </r>
    <r>
      <rPr>
        <vertAlign val="subscript"/>
        <sz val="11"/>
        <color theme="1"/>
        <rFont val="Calibri"/>
        <family val="2"/>
        <charset val="204"/>
        <scheme val="minor"/>
      </rPr>
      <t>факт.</t>
    </r>
    <r>
      <rPr>
        <sz val="11"/>
        <color theme="1"/>
        <rFont val="Calibri"/>
        <family val="2"/>
        <charset val="204"/>
        <scheme val="minor"/>
      </rPr>
      <t xml:space="preserve"> &gt; F</t>
    </r>
    <r>
      <rPr>
        <vertAlign val="subscript"/>
        <sz val="11"/>
        <color theme="1"/>
        <rFont val="Calibri"/>
        <family val="2"/>
        <charset val="204"/>
        <scheme val="minor"/>
      </rPr>
      <t xml:space="preserve">крит. </t>
    </r>
    <r>
      <rPr>
        <sz val="11"/>
        <color theme="1"/>
        <rFont val="Calibri"/>
        <family val="2"/>
        <charset val="204"/>
        <scheme val="minor"/>
      </rPr>
      <t>,
то отвергаем гипотезу H0 о незначимости уравнения регрессии на уровне значимости 0.05</t>
    </r>
  </si>
  <si>
    <r>
      <t>Найти точечный прогноз и нижнюю и верхнюю границу интервального прогноза при x</t>
    </r>
    <r>
      <rPr>
        <vertAlign val="subscript"/>
        <sz val="11"/>
        <color theme="1"/>
        <rFont val="Calibri"/>
        <family val="2"/>
        <charset val="204"/>
        <scheme val="minor"/>
      </rPr>
      <t>1,пр</t>
    </r>
    <r>
      <rPr>
        <sz val="11"/>
        <color theme="1"/>
        <rFont val="Calibri"/>
        <family val="2"/>
        <charset val="204"/>
        <scheme val="minor"/>
      </rPr>
      <t xml:space="preserve"> = 300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</si>
  <si>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1,пр</t>
    </r>
  </si>
  <si>
    <r>
      <t>y</t>
    </r>
    <r>
      <rPr>
        <sz val="11"/>
        <color theme="1"/>
        <rFont val="Calibri"/>
        <family val="2"/>
        <charset val="204"/>
      </rPr>
      <t>̂</t>
    </r>
    <r>
      <rPr>
        <vertAlign val="subscript"/>
        <sz val="11"/>
        <color theme="1"/>
        <rFont val="Calibri"/>
        <family val="2"/>
        <charset val="204"/>
      </rPr>
      <t>пр</t>
    </r>
  </si>
  <si>
    <r>
      <t>se(ŷ</t>
    </r>
    <r>
      <rPr>
        <vertAlign val="subscript"/>
        <sz val="11"/>
        <color theme="1"/>
        <rFont val="Calibri"/>
        <family val="2"/>
        <charset val="204"/>
        <scheme val="minor"/>
      </rPr>
      <t>пр</t>
    </r>
    <r>
      <rPr>
        <sz val="11"/>
        <color theme="1"/>
        <rFont val="Calibri"/>
        <family val="2"/>
        <charset val="204"/>
        <scheme val="minor"/>
      </rPr>
      <t>)</t>
    </r>
  </si>
  <si>
    <r>
      <t>Объем промышленного производства (x</t>
    </r>
    <r>
      <rPr>
        <sz val="11"/>
        <color theme="1"/>
        <rFont val="Calibri"/>
        <family val="2"/>
        <charset val="204"/>
      </rPr>
      <t>₁</t>
    </r>
    <r>
      <rPr>
        <sz val="11"/>
        <color theme="1"/>
        <rFont val="Calibri"/>
        <family val="2"/>
        <charset val="204"/>
        <scheme val="minor"/>
      </rPr>
      <t>)</t>
    </r>
  </si>
  <si>
    <r>
      <t>Среднедушевой денежный доход (x</t>
    </r>
    <r>
      <rPr>
        <sz val="11"/>
        <color theme="1"/>
        <rFont val="Calibri"/>
        <family val="2"/>
        <charset val="204"/>
      </rPr>
      <t>₂</t>
    </r>
    <r>
      <rPr>
        <sz val="11"/>
        <color theme="1"/>
        <rFont val="Calibri"/>
        <family val="2"/>
        <charset val="204"/>
        <scheme val="minor"/>
      </rPr>
      <t>)</t>
    </r>
  </si>
  <si>
    <t>Объем промышленного производства (x₁)</t>
  </si>
  <si>
    <t>Если ожидается объем промышленного производства в 300 млн. рублей, то уровень розничного товараоборота в среднем составит 161,8 млн. руб. и
с вероятностью 0.95 истинное значение уровня розничного товарооборота будет находится в интервале от 105,16 до 218,4</t>
  </si>
  <si>
    <t>Розничный  товарооброт (y)</t>
  </si>
  <si>
    <t>Среднедушевой денежный доход (x₂)</t>
  </si>
  <si>
    <t>Предсказанное Розничный  товарооброт (y)</t>
  </si>
  <si>
    <t>Диагностика мультиколлинеарности</t>
  </si>
  <si>
    <r>
      <t>(x</t>
    </r>
    <r>
      <rPr>
        <sz val="11"/>
        <color theme="1"/>
        <rFont val="Calibri"/>
        <family val="2"/>
        <charset val="204"/>
      </rPr>
      <t>₁</t>
    </r>
    <r>
      <rPr>
        <vertAlign val="subscript"/>
        <sz val="11"/>
        <color theme="1"/>
        <rFont val="Calibri"/>
        <family val="2"/>
        <charset val="204"/>
      </rPr>
      <t>i</t>
    </r>
    <r>
      <rPr>
        <sz val="11"/>
        <color theme="1"/>
        <rFont val="Calibri"/>
        <family val="2"/>
        <charset val="204"/>
        <scheme val="minor"/>
      </rPr>
      <t>-x̄</t>
    </r>
    <r>
      <rPr>
        <sz val="11"/>
        <color theme="1"/>
        <rFont val="Calibri"/>
        <family val="2"/>
        <charset val="204"/>
      </rPr>
      <t>₁</t>
    </r>
    <r>
      <rPr>
        <sz val="11"/>
        <color theme="1"/>
        <rFont val="Calibri"/>
        <family val="2"/>
        <charset val="204"/>
        <scheme val="minor"/>
      </rPr>
      <t>)*(x₂i-x̄₂)</t>
    </r>
  </si>
  <si>
    <r>
      <t>r</t>
    </r>
    <r>
      <rPr>
        <vertAlign val="subscript"/>
        <sz val="11"/>
        <color theme="1"/>
        <rFont val="Calibri"/>
        <family val="2"/>
        <charset val="204"/>
        <scheme val="minor"/>
      </rPr>
      <t>x1x2</t>
    </r>
  </si>
  <si>
    <t>Коэффициент</t>
  </si>
  <si>
    <t>Интепретация</t>
  </si>
  <si>
    <t>Связь заметная, следовательно есть проблема интеркорреляции</t>
  </si>
  <si>
    <t>Отбор факторов в уравнение множественной регресии</t>
  </si>
  <si>
    <t>Предварительный анализ</t>
  </si>
  <si>
    <r>
      <t>r</t>
    </r>
    <r>
      <rPr>
        <vertAlign val="subscript"/>
        <sz val="11"/>
        <color theme="1"/>
        <rFont val="Calibri"/>
        <family val="2"/>
        <charset val="204"/>
        <scheme val="minor"/>
      </rPr>
      <t>yx1</t>
    </r>
  </si>
  <si>
    <r>
      <t>r</t>
    </r>
    <r>
      <rPr>
        <vertAlign val="subscript"/>
        <sz val="11"/>
        <color theme="1"/>
        <rFont val="Calibri"/>
        <family val="2"/>
        <charset val="204"/>
        <scheme val="minor"/>
      </rPr>
      <t>yx2</t>
    </r>
  </si>
  <si>
    <r>
      <t>(y</t>
    </r>
    <r>
      <rPr>
        <vertAlign val="subscript"/>
        <sz val="11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charset val="204"/>
        <scheme val="minor"/>
      </rPr>
      <t>-y</t>
    </r>
    <r>
      <rPr>
        <sz val="11"/>
        <color theme="1"/>
        <rFont val="Calibri"/>
        <family val="2"/>
        <charset val="204"/>
      </rPr>
      <t>̄</t>
    </r>
    <r>
      <rPr>
        <sz val="11"/>
        <color theme="1"/>
        <rFont val="Calibri"/>
        <family val="2"/>
        <charset val="204"/>
        <scheme val="minor"/>
      </rPr>
      <t>)*(x</t>
    </r>
    <r>
      <rPr>
        <sz val="11"/>
        <color theme="1"/>
        <rFont val="Calibri"/>
        <family val="2"/>
        <charset val="204"/>
      </rPr>
      <t>₁</t>
    </r>
    <r>
      <rPr>
        <vertAlign val="subscript"/>
        <sz val="11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charset val="204"/>
        <scheme val="minor"/>
      </rPr>
      <t>-x̄</t>
    </r>
    <r>
      <rPr>
        <sz val="11"/>
        <color theme="1"/>
        <rFont val="Calibri"/>
        <family val="2"/>
        <charset val="204"/>
      </rPr>
      <t>₁</t>
    </r>
    <r>
      <rPr>
        <sz val="11"/>
        <color theme="1"/>
        <rFont val="Calibri"/>
        <family val="2"/>
        <charset val="204"/>
        <scheme val="minor"/>
      </rPr>
      <t>)</t>
    </r>
  </si>
  <si>
    <r>
      <t>(y</t>
    </r>
    <r>
      <rPr>
        <vertAlign val="subscript"/>
        <sz val="11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charset val="204"/>
        <scheme val="minor"/>
      </rPr>
      <t>-ȳ)*(x₂</t>
    </r>
    <r>
      <rPr>
        <vertAlign val="subscript"/>
        <sz val="11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charset val="204"/>
        <scheme val="minor"/>
      </rPr>
      <t>-x̄₂)</t>
    </r>
  </si>
  <si>
    <r>
      <t>r</t>
    </r>
    <r>
      <rPr>
        <vertAlign val="subscript"/>
        <sz val="11"/>
        <color theme="1"/>
        <rFont val="Calibri"/>
        <family val="2"/>
        <charset val="204"/>
        <scheme val="minor"/>
      </rPr>
      <t>yx1-x2</t>
    </r>
  </si>
  <si>
    <r>
      <t>r</t>
    </r>
    <r>
      <rPr>
        <vertAlign val="subscript"/>
        <sz val="11"/>
        <color theme="1"/>
        <rFont val="Calibri"/>
        <family val="2"/>
        <charset val="204"/>
        <scheme val="minor"/>
      </rPr>
      <t>yx2-x1</t>
    </r>
  </si>
  <si>
    <r>
      <t>Связь тесная. r</t>
    </r>
    <r>
      <rPr>
        <vertAlign val="subscript"/>
        <sz val="11"/>
        <color theme="1"/>
        <rFont val="Calibri"/>
        <family val="2"/>
        <charset val="204"/>
        <scheme val="minor"/>
      </rPr>
      <t xml:space="preserve">x1x2 </t>
    </r>
    <r>
      <rPr>
        <sz val="11"/>
        <color theme="1"/>
        <rFont val="Calibri"/>
        <family val="2"/>
        <charset val="204"/>
        <scheme val="minor"/>
      </rPr>
      <t>&lt; r</t>
    </r>
    <r>
      <rPr>
        <vertAlign val="subscript"/>
        <sz val="11"/>
        <color theme="1"/>
        <rFont val="Calibri"/>
        <family val="2"/>
        <charset val="204"/>
        <scheme val="minor"/>
      </rPr>
      <t>yx1</t>
    </r>
    <r>
      <rPr>
        <sz val="11"/>
        <color theme="1"/>
        <rFont val="Calibri"/>
        <family val="2"/>
        <charset val="204"/>
        <scheme val="minor"/>
      </rPr>
      <t xml:space="preserve"> значит, имеет смысл включать x1 в регрессию</t>
    </r>
  </si>
  <si>
    <r>
      <t>Связь тесная. r</t>
    </r>
    <r>
      <rPr>
        <vertAlign val="subscript"/>
        <sz val="11"/>
        <color theme="1"/>
        <rFont val="Calibri"/>
        <family val="2"/>
        <charset val="204"/>
        <scheme val="minor"/>
      </rPr>
      <t xml:space="preserve">x1x2 </t>
    </r>
    <r>
      <rPr>
        <sz val="11"/>
        <color theme="1"/>
        <rFont val="Calibri"/>
        <family val="2"/>
        <charset val="204"/>
        <scheme val="minor"/>
      </rPr>
      <t>&lt; r</t>
    </r>
    <r>
      <rPr>
        <vertAlign val="subscript"/>
        <sz val="11"/>
        <color theme="1"/>
        <rFont val="Calibri"/>
        <family val="2"/>
        <charset val="204"/>
        <scheme val="minor"/>
      </rPr>
      <t>yx2</t>
    </r>
    <r>
      <rPr>
        <sz val="11"/>
        <color theme="1"/>
        <rFont val="Calibri"/>
        <family val="2"/>
        <charset val="204"/>
        <scheme val="minor"/>
      </rPr>
      <t xml:space="preserve"> значит, имеет смысл включать x1 в регрессию</t>
    </r>
  </si>
  <si>
    <t>В чистом виде связь заметная</t>
  </si>
  <si>
    <t>В чистом виде связь также тесная</t>
  </si>
  <si>
    <t>Точная оценка (частные коэффициенты корреляции)</t>
  </si>
  <si>
    <t>Точная оценка (частные коэффициенты детерминации)</t>
  </si>
  <si>
    <r>
      <t>R</t>
    </r>
    <r>
      <rPr>
        <sz val="11"/>
        <color theme="1"/>
        <rFont val="Calibri"/>
        <family val="2"/>
        <charset val="204"/>
      </rPr>
      <t>²</t>
    </r>
    <r>
      <rPr>
        <vertAlign val="subscript"/>
        <sz val="11"/>
        <color theme="1"/>
        <rFont val="Calibri"/>
        <family val="2"/>
        <charset val="204"/>
        <scheme val="minor"/>
      </rPr>
      <t>yx1-x2</t>
    </r>
  </si>
  <si>
    <r>
      <t>R</t>
    </r>
    <r>
      <rPr>
        <sz val="11"/>
        <color theme="1"/>
        <rFont val="Calibri"/>
        <family val="2"/>
        <charset val="204"/>
      </rPr>
      <t>²</t>
    </r>
    <r>
      <rPr>
        <vertAlign val="subscript"/>
        <sz val="11"/>
        <color theme="1"/>
        <rFont val="Calibri"/>
        <family val="2"/>
        <charset val="204"/>
        <scheme val="minor"/>
      </rPr>
      <t>yx2-x1</t>
    </r>
  </si>
  <si>
    <t>Первый способ</t>
  </si>
  <si>
    <t>Второй способ</t>
  </si>
  <si>
    <t>Множественная линейная регрессия</t>
  </si>
  <si>
    <r>
      <t>b̂</t>
    </r>
    <r>
      <rPr>
        <sz val="11"/>
        <color theme="1"/>
        <rFont val="Calibri"/>
        <family val="2"/>
        <charset val="204"/>
      </rPr>
      <t>₂</t>
    </r>
  </si>
  <si>
    <t>На основе парной регрессии</t>
  </si>
  <si>
    <r>
      <t>y</t>
    </r>
    <r>
      <rPr>
        <sz val="11"/>
        <color theme="1"/>
        <rFont val="Calibri"/>
        <family val="2"/>
        <charset val="204"/>
      </rPr>
      <t>̂</t>
    </r>
  </si>
  <si>
    <r>
      <t>SS</t>
    </r>
    <r>
      <rPr>
        <vertAlign val="subscript"/>
        <sz val="11"/>
        <color theme="1"/>
        <rFont val="Calibri"/>
        <family val="2"/>
        <charset val="204"/>
        <scheme val="minor"/>
      </rPr>
      <t>ост</t>
    </r>
  </si>
  <si>
    <t>В чистом виде объем промышленного производства на 34% объяняет вариацию розничного товарооборота</t>
  </si>
  <si>
    <t>В чистом виде среднедушевой денежный доход на 58% объяняет вариацию розничного товарооборота</t>
  </si>
  <si>
    <t>F_fact</t>
  </si>
  <si>
    <t>F_crit</t>
  </si>
  <si>
    <r>
      <t>SS</t>
    </r>
    <r>
      <rPr>
        <vertAlign val="subscript"/>
        <sz val="11"/>
        <color theme="1"/>
        <rFont val="Calibri"/>
        <family val="2"/>
        <charset val="204"/>
        <scheme val="minor"/>
      </rPr>
      <t>факт</t>
    </r>
  </si>
  <si>
    <t>Оценка значимости коэф множественной регрессии</t>
  </si>
  <si>
    <t>se</t>
  </si>
  <si>
    <t>t_fact</t>
  </si>
  <si>
    <t>p_value</t>
  </si>
  <si>
    <t xml:space="preserve">Оценка значимости уравенния множественной регрессии </t>
  </si>
  <si>
    <t>p_value &lt; 0.05. Следовательно, уравнению множественной линейной регрессии значимо с вероятностью 95%</t>
  </si>
  <si>
    <r>
      <t>p-value = 0.0014 &lt; 0.05. Следовательно, коэф регрессии  b̂</t>
    </r>
    <r>
      <rPr>
        <sz val="11"/>
        <color theme="1"/>
        <rFont val="Calibri"/>
        <family val="2"/>
        <charset val="204"/>
      </rPr>
      <t>₂</t>
    </r>
    <r>
      <rPr>
        <sz val="10.1"/>
        <color theme="1"/>
        <rFont val="Calibri"/>
        <family val="2"/>
        <charset val="204"/>
      </rPr>
      <t xml:space="preserve"> статистически значим</t>
    </r>
  </si>
  <si>
    <t>t-критерий</t>
  </si>
  <si>
    <t>Частный F-критерий</t>
  </si>
  <si>
    <t>x1</t>
  </si>
  <si>
    <t>x2</t>
  </si>
  <si>
    <t>Переменная</t>
  </si>
  <si>
    <r>
      <t>SS</t>
    </r>
    <r>
      <rPr>
        <vertAlign val="superscript"/>
        <sz val="11"/>
        <color theme="1"/>
        <rFont val="Calibri"/>
        <family val="2"/>
        <charset val="204"/>
        <scheme val="minor"/>
      </rPr>
      <t>(2)</t>
    </r>
    <r>
      <rPr>
        <vertAlign val="subscript"/>
        <sz val="11"/>
        <color theme="1"/>
        <rFont val="Calibri"/>
        <family val="2"/>
        <charset val="204"/>
        <scheme val="minor"/>
      </rPr>
      <t>oст</t>
    </r>
  </si>
  <si>
    <r>
      <t>SS</t>
    </r>
    <r>
      <rPr>
        <vertAlign val="superscript"/>
        <sz val="11"/>
        <color theme="1"/>
        <rFont val="Calibri"/>
        <family val="2"/>
        <charset val="204"/>
        <scheme val="minor"/>
      </rPr>
      <t>(1)</t>
    </r>
    <r>
      <rPr>
        <vertAlign val="subscript"/>
        <sz val="11"/>
        <color theme="1"/>
        <rFont val="Calibri"/>
        <family val="2"/>
        <charset val="204"/>
        <scheme val="minor"/>
      </rPr>
      <t>oст</t>
    </r>
  </si>
  <si>
    <t>F_част</t>
  </si>
  <si>
    <t>Для y и x1</t>
  </si>
  <si>
    <t>Для y и x2</t>
  </si>
  <si>
    <t>Для множественной регрессии</t>
  </si>
  <si>
    <r>
      <t>(y</t>
    </r>
    <r>
      <rPr>
        <vertAlign val="subscript"/>
        <sz val="11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charset val="204"/>
        <scheme val="minor"/>
      </rPr>
      <t>-ŷ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)²</t>
    </r>
  </si>
  <si>
    <t>Для обеих переменных F_част &gt; F_crit. Следовательно, включение обеих переменных значимо с вероятностью 95%</t>
  </si>
  <si>
    <t xml:space="preserve">                                                 </t>
  </si>
  <si>
    <t>Данные</t>
  </si>
  <si>
    <t>Гипербола</t>
  </si>
  <si>
    <r>
      <t>Среднедушевойденежный доход (x</t>
    </r>
    <r>
      <rPr>
        <sz val="11"/>
        <color theme="1"/>
        <rFont val="Calibri"/>
        <family val="2"/>
        <charset val="204"/>
      </rPr>
      <t>₂</t>
    </r>
    <r>
      <rPr>
        <sz val="11"/>
        <color theme="1"/>
        <rFont val="Calibri"/>
        <family val="2"/>
        <charset val="204"/>
        <scheme val="minor"/>
      </rPr>
      <t>)</t>
    </r>
  </si>
  <si>
    <r>
      <t>z</t>
    </r>
    <r>
      <rPr>
        <sz val="11"/>
        <color theme="1"/>
        <rFont val="Calibri"/>
        <family val="2"/>
        <charset val="204"/>
      </rPr>
      <t>₂</t>
    </r>
    <r>
      <rPr>
        <sz val="11"/>
        <color theme="1"/>
        <rFont val="Calibri"/>
        <family val="2"/>
        <charset val="204"/>
        <scheme val="minor"/>
      </rPr>
      <t xml:space="preserve"> = 1/x</t>
    </r>
    <r>
      <rPr>
        <sz val="11"/>
        <color theme="1"/>
        <rFont val="Calibri"/>
        <family val="2"/>
        <charset val="204"/>
      </rPr>
      <t>₂</t>
    </r>
  </si>
  <si>
    <t>MAPE</t>
  </si>
  <si>
    <t>z₂ = 1/x₂</t>
  </si>
  <si>
    <t>Парабола</t>
  </si>
  <si>
    <r>
      <t>z</t>
    </r>
    <r>
      <rPr>
        <sz val="11"/>
        <color theme="1"/>
        <rFont val="Calibri"/>
        <family val="2"/>
        <charset val="204"/>
      </rPr>
      <t>₂</t>
    </r>
    <r>
      <rPr>
        <sz val="11"/>
        <color theme="1"/>
        <rFont val="Calibri"/>
        <family val="2"/>
        <charset val="204"/>
        <scheme val="minor"/>
      </rPr>
      <t xml:space="preserve"> = x</t>
    </r>
    <r>
      <rPr>
        <sz val="11"/>
        <color theme="1"/>
        <rFont val="Calibri"/>
        <family val="2"/>
        <charset val="204"/>
      </rPr>
      <t>₂²</t>
    </r>
  </si>
  <si>
    <r>
      <t>z</t>
    </r>
    <r>
      <rPr>
        <sz val="11"/>
        <color theme="1"/>
        <rFont val="Calibri"/>
        <family val="2"/>
        <charset val="204"/>
      </rPr>
      <t>₁</t>
    </r>
    <r>
      <rPr>
        <sz val="11"/>
        <color theme="1"/>
        <rFont val="Calibri"/>
        <family val="2"/>
        <charset val="204"/>
        <scheme val="minor"/>
      </rPr>
      <t xml:space="preserve"> = x</t>
    </r>
    <r>
      <rPr>
        <sz val="11"/>
        <color theme="1"/>
        <rFont val="Calibri"/>
        <family val="2"/>
        <charset val="204"/>
      </rPr>
      <t>₂</t>
    </r>
  </si>
  <si>
    <t>z₁ = x₂</t>
  </si>
  <si>
    <t>z₂ = x₂²</t>
  </si>
  <si>
    <t>Y = ln(y)</t>
  </si>
  <si>
    <r>
      <t>X = ln(x</t>
    </r>
    <r>
      <rPr>
        <sz val="11"/>
        <color theme="1"/>
        <rFont val="Calibri"/>
        <family val="2"/>
        <charset val="204"/>
      </rPr>
      <t>₂)</t>
    </r>
  </si>
  <si>
    <t>X = ln(x₂)</t>
  </si>
  <si>
    <t>Предсказанное Y = ln(y)</t>
  </si>
  <si>
    <r>
      <t>ln(y</t>
    </r>
    <r>
      <rPr>
        <sz val="11"/>
        <color theme="1"/>
        <rFont val="Calibri"/>
        <family val="2"/>
        <charset val="204"/>
      </rPr>
      <t>̂)</t>
    </r>
  </si>
  <si>
    <t>y</t>
  </si>
  <si>
    <t>ŷ</t>
  </si>
  <si>
    <t>Показательная</t>
  </si>
  <si>
    <r>
      <t>x</t>
    </r>
    <r>
      <rPr>
        <sz val="11"/>
        <color theme="1"/>
        <rFont val="Calibri"/>
        <family val="2"/>
        <charset val="204"/>
      </rPr>
      <t>₂</t>
    </r>
  </si>
  <si>
    <t>x₂</t>
  </si>
  <si>
    <t>Полулогарифмическая</t>
  </si>
  <si>
    <r>
      <t>z</t>
    </r>
    <r>
      <rPr>
        <sz val="11"/>
        <color theme="1"/>
        <rFont val="Calibri"/>
        <family val="2"/>
        <charset val="204"/>
      </rPr>
      <t>₂=ln(</t>
    </r>
    <r>
      <rPr>
        <sz val="11"/>
        <color theme="1"/>
        <rFont val="Calibri"/>
        <family val="2"/>
        <charset val="204"/>
        <scheme val="minor"/>
      </rPr>
      <t>x</t>
    </r>
    <r>
      <rPr>
        <sz val="11"/>
        <color theme="1"/>
        <rFont val="Calibri"/>
        <family val="2"/>
        <charset val="204"/>
      </rPr>
      <t>₂)</t>
    </r>
  </si>
  <si>
    <t>z₂=ln(x₂)</t>
  </si>
  <si>
    <t>Предсказанное y</t>
  </si>
  <si>
    <t>Степенная
(наиболее точная модель)</t>
  </si>
  <si>
    <r>
      <t>Прогноз по степенной регрессии (y</t>
    </r>
    <r>
      <rPr>
        <sz val="11"/>
        <color theme="1"/>
        <rFont val="Calibri"/>
        <family val="2"/>
        <charset val="204"/>
      </rPr>
      <t>̂</t>
    </r>
    <r>
      <rPr>
        <sz val="11"/>
        <color theme="1"/>
        <rFont val="Calibri"/>
        <family val="2"/>
        <charset val="204"/>
        <scheme val="minor"/>
      </rPr>
      <t>)</t>
    </r>
  </si>
  <si>
    <t>Тест Гольфельда-Квандта</t>
  </si>
  <si>
    <t>Регрессия 1</t>
  </si>
  <si>
    <t>Переменная X 1</t>
  </si>
  <si>
    <t>Предсказанное Y</t>
  </si>
  <si>
    <r>
      <t>Отсортированная (x</t>
    </r>
    <r>
      <rPr>
        <sz val="11"/>
        <color theme="1"/>
        <rFont val="Calibri"/>
        <family val="2"/>
        <charset val="204"/>
      </rPr>
      <t>₂</t>
    </r>
    <r>
      <rPr>
        <sz val="11"/>
        <color theme="1"/>
        <rFont val="Calibri"/>
        <family val="2"/>
        <charset val="204"/>
        <scheme val="minor"/>
      </rPr>
      <t>)</t>
    </r>
  </si>
  <si>
    <t>Y=ln(y)</t>
  </si>
  <si>
    <r>
      <t>X=ln(x</t>
    </r>
    <r>
      <rPr>
        <sz val="11"/>
        <color theme="1"/>
        <rFont val="Calibri"/>
        <family val="2"/>
        <charset val="204"/>
      </rPr>
      <t>₂)</t>
    </r>
  </si>
  <si>
    <t>X=ln(x₂)</t>
  </si>
  <si>
    <t>Предсказанное Y=ln(y)</t>
  </si>
  <si>
    <t>Регрессия 2</t>
  </si>
  <si>
    <t>Fтабл</t>
  </si>
  <si>
    <t>Fфакт</t>
  </si>
  <si>
    <r>
      <t>SS</t>
    </r>
    <r>
      <rPr>
        <vertAlign val="superscript"/>
        <sz val="11"/>
        <color theme="1"/>
        <rFont val="Calibri"/>
        <family val="2"/>
        <charset val="204"/>
        <scheme val="minor"/>
      </rPr>
      <t>max</t>
    </r>
    <r>
      <rPr>
        <sz val="11"/>
        <color theme="1"/>
        <rFont val="Calibri"/>
        <family val="2"/>
        <charset val="204"/>
        <scheme val="minor"/>
      </rPr>
      <t>ост</t>
    </r>
  </si>
  <si>
    <r>
      <t>SS</t>
    </r>
    <r>
      <rPr>
        <vertAlign val="superscript"/>
        <sz val="11"/>
        <color theme="1"/>
        <rFont val="Calibri"/>
        <family val="2"/>
        <charset val="204"/>
        <scheme val="minor"/>
      </rPr>
      <t>min</t>
    </r>
    <r>
      <rPr>
        <sz val="11"/>
        <color theme="1"/>
        <rFont val="Calibri"/>
        <family val="2"/>
        <charset val="204"/>
        <scheme val="minor"/>
      </rPr>
      <t>ост</t>
    </r>
  </si>
  <si>
    <t>Случайные остатки гомоскедастичны с вероятностью 95%</t>
  </si>
  <si>
    <t>Тест Спирмена</t>
  </si>
  <si>
    <t>E = ln(ε)</t>
  </si>
  <si>
    <t>rang(X)</t>
  </si>
  <si>
    <r>
      <t>rang(E</t>
    </r>
    <r>
      <rPr>
        <sz val="11"/>
        <color theme="1"/>
        <rFont val="Calibri"/>
        <family val="2"/>
        <charset val="204"/>
      </rPr>
      <t>)</t>
    </r>
  </si>
  <si>
    <r>
      <t>d</t>
    </r>
    <r>
      <rPr>
        <sz val="11"/>
        <color theme="1"/>
        <rFont val="Calibri"/>
        <family val="2"/>
        <charset val="204"/>
      </rPr>
      <t>²</t>
    </r>
  </si>
  <si>
    <t>p</t>
  </si>
  <si>
    <t>p &lt; 0,3 Следовательно, остатки гомоскедастичны</t>
  </si>
  <si>
    <r>
      <t>t</t>
    </r>
    <r>
      <rPr>
        <vertAlign val="subscript"/>
        <sz val="11"/>
        <color theme="1"/>
        <rFont val="Calibri"/>
        <family val="2"/>
        <charset val="204"/>
        <scheme val="minor"/>
      </rPr>
      <t>табл</t>
    </r>
  </si>
  <si>
    <r>
      <t>t</t>
    </r>
    <r>
      <rPr>
        <vertAlign val="subscript"/>
        <sz val="11"/>
        <color theme="1"/>
        <rFont val="Calibri"/>
        <family val="2"/>
        <charset val="204"/>
        <scheme val="minor"/>
      </rPr>
      <t>p</t>
    </r>
  </si>
  <si>
    <r>
      <t>t</t>
    </r>
    <r>
      <rPr>
        <vertAlign val="subscript"/>
        <sz val="11"/>
        <color theme="1"/>
        <rFont val="Calibri"/>
        <family val="2"/>
        <charset val="204"/>
        <scheme val="minor"/>
      </rPr>
      <t xml:space="preserve">p </t>
    </r>
    <r>
      <rPr>
        <sz val="11"/>
        <color theme="1"/>
        <rFont val="Calibri"/>
        <family val="2"/>
        <charset val="204"/>
        <scheme val="minor"/>
      </rPr>
      <t>&lt; t</t>
    </r>
    <r>
      <rPr>
        <vertAlign val="subscript"/>
        <sz val="11"/>
        <color theme="1"/>
        <rFont val="Calibri"/>
        <family val="2"/>
        <charset val="204"/>
        <scheme val="minor"/>
      </rPr>
      <t>табл</t>
    </r>
    <r>
      <rPr>
        <sz val="11"/>
        <color theme="1"/>
        <rFont val="Calibri"/>
        <family val="2"/>
        <charset val="204"/>
        <scheme val="minor"/>
      </rPr>
      <t xml:space="preserve"> Следовательно, остатки гомоскедастичны с вероятностью 95%</t>
    </r>
  </si>
  <si>
    <r>
      <t>E</t>
    </r>
    <r>
      <rPr>
        <sz val="11"/>
        <color theme="1"/>
        <rFont val="Calibri"/>
        <family val="2"/>
        <charset val="204"/>
      </rPr>
      <t>²</t>
    </r>
  </si>
  <si>
    <t>Переменная X 2</t>
  </si>
  <si>
    <r>
      <t>X</t>
    </r>
    <r>
      <rPr>
        <sz val="11"/>
        <color theme="1"/>
        <rFont val="Calibri"/>
        <family val="2"/>
        <charset val="204"/>
      </rPr>
      <t>²</t>
    </r>
    <r>
      <rPr>
        <sz val="11"/>
        <color theme="1"/>
        <rFont val="Calibri"/>
        <family val="2"/>
        <charset val="204"/>
        <scheme val="minor"/>
      </rPr>
      <t xml:space="preserve"> (линеаризация Z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=X</t>
    </r>
    <r>
      <rPr>
        <sz val="11"/>
        <color theme="1"/>
        <rFont val="Calibri"/>
        <family val="2"/>
        <charset val="204"/>
      </rPr>
      <t>²)</t>
    </r>
  </si>
  <si>
    <r>
      <t>X=ln(x</t>
    </r>
    <r>
      <rPr>
        <sz val="11"/>
        <color theme="1"/>
        <rFont val="Calibri"/>
        <family val="2"/>
        <charset val="204"/>
      </rPr>
      <t>₂) (линеаризация Z</t>
    </r>
    <r>
      <rPr>
        <vertAlign val="subscript"/>
        <sz val="11"/>
        <color theme="1"/>
        <rFont val="Calibri"/>
        <family val="2"/>
        <charset val="204"/>
      </rPr>
      <t>1</t>
    </r>
    <r>
      <rPr>
        <sz val="11"/>
        <color theme="1"/>
        <rFont val="Calibri"/>
        <family val="2"/>
        <charset val="204"/>
      </rPr>
      <t>=X</t>
    </r>
    <r>
      <rPr>
        <sz val="11"/>
        <color theme="1"/>
        <rFont val="Calibri"/>
        <family val="2"/>
        <charset val="204"/>
        <scheme val="minor"/>
      </rPr>
      <t>)</t>
    </r>
  </si>
  <si>
    <r>
      <t>E</t>
    </r>
    <r>
      <rPr>
        <sz val="11"/>
        <color theme="1"/>
        <rFont val="Calibri"/>
        <family val="2"/>
        <charset val="204"/>
      </rPr>
      <t>²</t>
    </r>
    <r>
      <rPr>
        <sz val="11"/>
        <color theme="1"/>
        <rFont val="Calibri"/>
        <family val="2"/>
        <charset val="204"/>
        <scheme val="minor"/>
      </rPr>
      <t xml:space="preserve"> (линеаризация Y</t>
    </r>
    <r>
      <rPr>
        <vertAlign val="subscript"/>
        <sz val="11"/>
        <color theme="1"/>
        <rFont val="Calibri"/>
        <family val="2"/>
        <charset val="204"/>
        <scheme val="minor"/>
      </rPr>
      <t xml:space="preserve">e </t>
    </r>
    <r>
      <rPr>
        <sz val="11"/>
        <color theme="1"/>
        <rFont val="Calibri"/>
        <family val="2"/>
        <charset val="204"/>
        <scheme val="minor"/>
      </rPr>
      <t>= E</t>
    </r>
    <r>
      <rPr>
        <sz val="11"/>
        <color theme="1"/>
        <rFont val="Calibri"/>
        <family val="2"/>
        <charset val="204"/>
      </rPr>
      <t>²)</t>
    </r>
  </si>
  <si>
    <t>Fфакт &lt; Fтабл Следовательно, случайные остатки гомоскедастичны с вероятностью 95%</t>
  </si>
  <si>
    <t>ln(X)</t>
  </si>
  <si>
    <r>
      <t xml:space="preserve">Тест Уайта: </t>
    </r>
    <r>
      <rPr>
        <sz val="11"/>
        <color theme="1"/>
        <rFont val="Calibri"/>
        <family val="2"/>
        <charset val="204"/>
        <scheme val="minor"/>
      </rPr>
      <t>Y</t>
    </r>
    <r>
      <rPr>
        <vertAlign val="subscript"/>
        <sz val="11"/>
        <color theme="1"/>
        <rFont val="Calibri"/>
        <family val="2"/>
        <charset val="204"/>
        <scheme val="minor"/>
      </rPr>
      <t>e</t>
    </r>
    <r>
      <rPr>
        <sz val="11"/>
        <color theme="1"/>
        <rFont val="Calibri"/>
        <family val="2"/>
        <charset val="204"/>
        <scheme val="minor"/>
      </rPr>
      <t xml:space="preserve"> = b</t>
    </r>
    <r>
      <rPr>
        <vertAlign val="subscript"/>
        <sz val="11"/>
        <color theme="1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charset val="204"/>
        <scheme val="minor"/>
      </rPr>
      <t xml:space="preserve"> + b</t>
    </r>
    <r>
      <rPr>
        <vertAlign val="subscript"/>
        <sz val="11"/>
        <color theme="1"/>
        <rFont val="Calibri"/>
        <family val="2"/>
        <charset val="204"/>
        <scheme val="minor"/>
      </rPr>
      <t>11</t>
    </r>
    <r>
      <rPr>
        <sz val="11"/>
        <color theme="1"/>
        <rFont val="Calibri"/>
        <family val="2"/>
        <charset val="204"/>
        <scheme val="minor"/>
      </rPr>
      <t xml:space="preserve"> * Z</t>
    </r>
    <r>
      <rPr>
        <sz val="11"/>
        <color theme="1"/>
        <rFont val="Calibri"/>
        <family val="2"/>
        <charset val="204"/>
      </rPr>
      <t>₁</t>
    </r>
    <r>
      <rPr>
        <sz val="11"/>
        <color theme="1"/>
        <rFont val="Calibri"/>
        <family val="2"/>
        <charset val="204"/>
        <scheme val="minor"/>
      </rPr>
      <t xml:space="preserve"> + b</t>
    </r>
    <r>
      <rPr>
        <vertAlign val="subscript"/>
        <sz val="11"/>
        <color theme="1"/>
        <rFont val="Calibri"/>
        <family val="2"/>
        <charset val="204"/>
        <scheme val="minor"/>
      </rPr>
      <t>12</t>
    </r>
    <r>
      <rPr>
        <sz val="11"/>
        <color theme="1"/>
        <rFont val="Calibri"/>
        <family val="2"/>
        <charset val="204"/>
        <scheme val="minor"/>
      </rPr>
      <t xml:space="preserve"> * Z</t>
    </r>
    <r>
      <rPr>
        <sz val="11"/>
        <color theme="1"/>
        <rFont val="Calibri"/>
        <family val="2"/>
        <charset val="204"/>
      </rPr>
      <t>₂</t>
    </r>
    <r>
      <rPr>
        <sz val="11"/>
        <color theme="1"/>
        <rFont val="Calibri"/>
        <family val="2"/>
        <charset val="204"/>
        <scheme val="minor"/>
      </rPr>
      <t xml:space="preserve"> + u</t>
    </r>
  </si>
  <si>
    <r>
      <t>ln(E</t>
    </r>
    <r>
      <rPr>
        <sz val="11"/>
        <color theme="1"/>
        <rFont val="Calibri"/>
        <family val="2"/>
        <charset val="204"/>
      </rPr>
      <t>²</t>
    </r>
    <r>
      <rPr>
        <sz val="11.55"/>
        <color theme="1"/>
        <rFont val="Calibri"/>
        <family val="2"/>
        <charset val="204"/>
      </rPr>
      <t>)</t>
    </r>
  </si>
  <si>
    <t>Предсказанное ln(E²)</t>
  </si>
  <si>
    <t>pvalue</t>
  </si>
  <si>
    <t>alpha</t>
  </si>
  <si>
    <r>
      <t xml:space="preserve">Тест Парка: </t>
    </r>
    <r>
      <rPr>
        <sz val="11"/>
        <color theme="1"/>
        <rFont val="Calibri"/>
        <family val="2"/>
        <charset val="204"/>
        <scheme val="minor"/>
      </rPr>
      <t>ln(E</t>
    </r>
    <r>
      <rPr>
        <sz val="11"/>
        <color theme="1"/>
        <rFont val="Calibri"/>
        <family val="2"/>
        <charset val="204"/>
      </rPr>
      <t>²)</t>
    </r>
    <r>
      <rPr>
        <sz val="11"/>
        <color theme="1"/>
        <rFont val="Calibri"/>
        <family val="2"/>
        <charset val="204"/>
        <scheme val="minor"/>
      </rPr>
      <t xml:space="preserve"> = b</t>
    </r>
    <r>
      <rPr>
        <vertAlign val="subscript"/>
        <sz val="11"/>
        <color theme="1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charset val="204"/>
        <scheme val="minor"/>
      </rPr>
      <t xml:space="preserve"> + b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 xml:space="preserve"> * ln(X) + </t>
    </r>
    <r>
      <rPr>
        <sz val="11"/>
        <color theme="1"/>
        <rFont val="Arial"/>
        <family val="2"/>
        <charset val="204"/>
      </rPr>
      <t>δ</t>
    </r>
  </si>
  <si>
    <t>pvalue &gt; 0,05 Следовательно, принимается нулевая гипотеза о незначимости b1 (остатки гомоскедастичны)</t>
  </si>
  <si>
    <t>Через t-критерий</t>
  </si>
  <si>
    <r>
      <t xml:space="preserve">Тест Глейзера: </t>
    </r>
    <r>
      <rPr>
        <sz val="11"/>
        <color theme="1"/>
        <rFont val="Calibri"/>
        <family val="2"/>
        <charset val="204"/>
        <scheme val="minor"/>
      </rPr>
      <t>|E| = b</t>
    </r>
    <r>
      <rPr>
        <vertAlign val="subscript"/>
        <sz val="11"/>
        <color theme="1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charset val="204"/>
        <scheme val="minor"/>
      </rPr>
      <t xml:space="preserve"> + b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 xml:space="preserve"> * X</t>
    </r>
    <r>
      <rPr>
        <vertAlign val="superscript"/>
        <sz val="11"/>
        <color theme="1"/>
        <rFont val="Calibri"/>
        <family val="2"/>
        <charset val="204"/>
        <scheme val="minor"/>
      </rPr>
      <t xml:space="preserve">k </t>
    </r>
    <r>
      <rPr>
        <sz val="11"/>
        <color theme="1"/>
        <rFont val="Calibri"/>
        <family val="2"/>
        <charset val="204"/>
        <scheme val="minor"/>
      </rPr>
      <t xml:space="preserve">+ </t>
    </r>
    <r>
      <rPr>
        <sz val="11"/>
        <color theme="1"/>
        <rFont val="Arial"/>
        <family val="2"/>
        <charset val="204"/>
      </rPr>
      <t>δ</t>
    </r>
  </si>
  <si>
    <t>|E|</t>
  </si>
  <si>
    <r>
      <t>X</t>
    </r>
    <r>
      <rPr>
        <vertAlign val="superscript"/>
        <sz val="11"/>
        <color theme="1"/>
        <rFont val="Calibri"/>
        <family val="2"/>
        <charset val="204"/>
        <scheme val="minor"/>
      </rPr>
      <t>k</t>
    </r>
    <r>
      <rPr>
        <sz val="11"/>
        <color theme="1"/>
        <rFont val="Calibri"/>
        <family val="2"/>
        <charset val="204"/>
        <scheme val="minor"/>
      </rPr>
      <t xml:space="preserve"> при k = -1</t>
    </r>
  </si>
  <si>
    <r>
      <t>X</t>
    </r>
    <r>
      <rPr>
        <vertAlign val="superscript"/>
        <sz val="11"/>
        <color theme="1"/>
        <rFont val="Calibri"/>
        <family val="2"/>
        <charset val="204"/>
        <scheme val="minor"/>
      </rPr>
      <t>k</t>
    </r>
    <r>
      <rPr>
        <sz val="11"/>
        <color theme="1"/>
        <rFont val="Calibri"/>
        <family val="2"/>
        <charset val="204"/>
        <scheme val="minor"/>
      </rPr>
      <t xml:space="preserve"> при k = 1</t>
    </r>
  </si>
  <si>
    <r>
      <t>X</t>
    </r>
    <r>
      <rPr>
        <vertAlign val="superscript"/>
        <sz val="11"/>
        <color theme="1"/>
        <rFont val="Calibri"/>
        <family val="2"/>
        <charset val="204"/>
        <scheme val="minor"/>
      </rPr>
      <t>k</t>
    </r>
    <r>
      <rPr>
        <sz val="11"/>
        <color theme="1"/>
        <rFont val="Calibri"/>
        <family val="2"/>
        <charset val="204"/>
        <scheme val="minor"/>
      </rPr>
      <t xml:space="preserve"> при k = 0,5</t>
    </r>
  </si>
  <si>
    <r>
      <t>X</t>
    </r>
    <r>
      <rPr>
        <vertAlign val="superscript"/>
        <sz val="11"/>
        <color theme="1"/>
        <rFont val="Calibri"/>
        <family val="2"/>
        <charset val="204"/>
        <scheme val="minor"/>
      </rPr>
      <t>k</t>
    </r>
    <r>
      <rPr>
        <sz val="11"/>
        <color theme="1"/>
        <rFont val="Calibri"/>
        <family val="2"/>
        <charset val="204"/>
        <scheme val="minor"/>
      </rPr>
      <t xml:space="preserve"> при k = -0,5</t>
    </r>
  </si>
  <si>
    <r>
      <t>Регрессия при X</t>
    </r>
    <r>
      <rPr>
        <vertAlign val="superscript"/>
        <sz val="11"/>
        <color theme="1"/>
        <rFont val="Calibri"/>
        <family val="2"/>
        <charset val="204"/>
        <scheme val="minor"/>
      </rPr>
      <t>k</t>
    </r>
    <r>
      <rPr>
        <sz val="11"/>
        <color theme="1"/>
        <rFont val="Calibri"/>
        <family val="2"/>
        <charset val="204"/>
        <scheme val="minor"/>
      </rPr>
      <t xml:space="preserve"> при k = -1</t>
    </r>
  </si>
  <si>
    <t>Xk при k = -1</t>
  </si>
  <si>
    <t>Xk при k = -0,5</t>
  </si>
  <si>
    <t>Xk при k = 0,5</t>
  </si>
  <si>
    <r>
      <t>Регрессия при X</t>
    </r>
    <r>
      <rPr>
        <vertAlign val="superscript"/>
        <sz val="11"/>
        <color theme="1"/>
        <rFont val="Calibri"/>
        <family val="2"/>
        <charset val="204"/>
        <scheme val="minor"/>
      </rPr>
      <t>k</t>
    </r>
    <r>
      <rPr>
        <sz val="11"/>
        <color theme="1"/>
        <rFont val="Calibri"/>
        <family val="2"/>
        <charset val="204"/>
        <scheme val="minor"/>
      </rPr>
      <t xml:space="preserve"> при k = 1</t>
    </r>
  </si>
  <si>
    <t>Xk при k = 1</t>
  </si>
  <si>
    <t>Все коэф регрессии незначимы с вероятностью 0,05. Значит остатки гомоскедастичны</t>
  </si>
  <si>
    <t>1. Анализ гомоскедастичности</t>
  </si>
  <si>
    <t>2. Анализ нормальности распределения случайных остатков</t>
  </si>
  <si>
    <r>
      <t>ln(</t>
    </r>
    <r>
      <rPr>
        <sz val="11"/>
        <color theme="1"/>
        <rFont val="Calibri"/>
        <family val="2"/>
        <charset val="204"/>
      </rPr>
      <t>ε</t>
    </r>
    <r>
      <rPr>
        <sz val="10.55"/>
        <color theme="1"/>
        <rFont val="Calibri"/>
        <family val="2"/>
        <charset val="204"/>
      </rPr>
      <t>)</t>
    </r>
  </si>
  <si>
    <r>
      <t>Регрессия при X</t>
    </r>
    <r>
      <rPr>
        <vertAlign val="superscript"/>
        <sz val="11"/>
        <color theme="1"/>
        <rFont val="Calibri"/>
        <family val="2"/>
        <charset val="204"/>
        <scheme val="minor"/>
      </rPr>
      <t>k</t>
    </r>
    <r>
      <rPr>
        <sz val="11"/>
        <color theme="1"/>
        <rFont val="Calibri"/>
        <family val="2"/>
        <charset val="204"/>
        <scheme val="minor"/>
      </rPr>
      <t xml:space="preserve"> при k = -0,5</t>
    </r>
  </si>
  <si>
    <t>Регрессия при Xk при k = 0,5</t>
  </si>
  <si>
    <t>R/S критерий</t>
  </si>
  <si>
    <t>R</t>
  </si>
  <si>
    <t>S</t>
  </si>
  <si>
    <t>R/S</t>
  </si>
  <si>
    <r>
      <t>R/S</t>
    </r>
    <r>
      <rPr>
        <vertAlign val="subscript"/>
        <sz val="11"/>
        <color theme="1"/>
        <rFont val="Calibri"/>
        <family val="2"/>
        <charset val="204"/>
        <scheme val="minor"/>
      </rPr>
      <t>min</t>
    </r>
    <r>
      <rPr>
        <sz val="11"/>
        <color theme="1"/>
        <rFont val="Calibri"/>
        <family val="2"/>
        <charset val="204"/>
        <scheme val="minor"/>
      </rPr>
      <t>(n=15)</t>
    </r>
  </si>
  <si>
    <r>
      <t>R/S</t>
    </r>
    <r>
      <rPr>
        <vertAlign val="subscript"/>
        <sz val="11"/>
        <color theme="1"/>
        <rFont val="Calibri"/>
        <family val="2"/>
        <charset val="204"/>
        <scheme val="minor"/>
      </rPr>
      <t>max</t>
    </r>
    <r>
      <rPr>
        <sz val="11"/>
        <color theme="1"/>
        <rFont val="Calibri"/>
        <family val="2"/>
        <charset val="204"/>
        <scheme val="minor"/>
      </rPr>
      <t>(n=15)</t>
    </r>
  </si>
  <si>
    <t>Так как R/S принадлежит интервалу [R/Smin(n=15), R/Smax(n=15)], то остатки распределены нормально</t>
  </si>
  <si>
    <t>Критерий Харке-Бера</t>
  </si>
  <si>
    <t>Ex</t>
  </si>
  <si>
    <t>JB</t>
  </si>
  <si>
    <t>As</t>
  </si>
  <si>
    <r>
      <t>Chi</t>
    </r>
    <r>
      <rPr>
        <vertAlign val="subscript"/>
        <sz val="11"/>
        <color theme="1"/>
        <rFont val="Calibri"/>
        <family val="2"/>
        <charset val="204"/>
        <scheme val="minor"/>
      </rPr>
      <t>крит</t>
    </r>
  </si>
  <si>
    <r>
      <t>Так как JB &lt; Chi</t>
    </r>
    <r>
      <rPr>
        <vertAlign val="subscript"/>
        <sz val="11"/>
        <color theme="1"/>
        <rFont val="Calibri"/>
        <family val="2"/>
        <charset val="204"/>
        <scheme val="minor"/>
      </rPr>
      <t>крит</t>
    </r>
    <r>
      <rPr>
        <sz val="11"/>
        <color theme="1"/>
        <rFont val="Calibri"/>
        <family val="2"/>
        <charset val="204"/>
        <scheme val="minor"/>
      </rPr>
      <t>, то расрпеделение случайных остатков нормально с вероятностью ошибки 0,05</t>
    </r>
  </si>
  <si>
    <t>Пункт 1</t>
  </si>
  <si>
    <r>
      <t>r</t>
    </r>
    <r>
      <rPr>
        <sz val="11"/>
        <color theme="1"/>
        <rFont val="Calibri"/>
        <family val="2"/>
        <charset val="204"/>
      </rPr>
      <t>²</t>
    </r>
  </si>
  <si>
    <t>Парная регрессия</t>
  </si>
  <si>
    <t>№1</t>
  </si>
  <si>
    <t>№2</t>
  </si>
  <si>
    <t>Множ. Регрессия</t>
  </si>
  <si>
    <r>
      <t>R</t>
    </r>
    <r>
      <rPr>
        <sz val="11"/>
        <color theme="1"/>
        <rFont val="Calibri"/>
        <family val="2"/>
        <charset val="204"/>
      </rPr>
      <t>²</t>
    </r>
  </si>
  <si>
    <t>Фактор размера торговой площади на 90% объясняет общую вариацию объема реализации торговли</t>
  </si>
  <si>
    <t>При линейной зависимости y от фактора x1 и параболической зависимости от x2 общая вариация y  объяняется совместно этими факторами на 95%</t>
  </si>
  <si>
    <t>Совместно факторы размера торговой площади и товарных запасов объяняют общую вариацию y на 92%</t>
  </si>
  <si>
    <r>
      <t>Частный R</t>
    </r>
    <r>
      <rPr>
        <sz val="11"/>
        <color theme="1"/>
        <rFont val="Calibri"/>
        <family val="2"/>
        <charset val="204"/>
      </rPr>
      <t>²</t>
    </r>
  </si>
  <si>
    <t>Номер регрессии</t>
  </si>
  <si>
    <t>Фактор</t>
  </si>
  <si>
    <t>При включении x1 в уравнение линейной множ. регресии после x2 остаточная дисперсия сократится на 20%</t>
  </si>
  <si>
    <t>При включении x2 в уравнение линейной множ. регресии после x1 остаточная дисперсия сократится на 50%</t>
  </si>
  <si>
    <t>При включении x1 в уравнение нелинейной множ. регресии после x2 остаточная дисперсия сократится на 50%</t>
  </si>
  <si>
    <t>При включении x2 в уравнение нелинейной множ. регресии после x1 остаточная дисперсия сократится на 68,75%</t>
  </si>
  <si>
    <t>Фактор товарных запасов на 84% объясняет общую вариацию объема реализации торговли</t>
  </si>
  <si>
    <t>Пункт 2</t>
  </si>
  <si>
    <t>№3</t>
  </si>
  <si>
    <t>№4</t>
  </si>
  <si>
    <r>
      <t>R</t>
    </r>
    <r>
      <rPr>
        <sz val="11"/>
        <color theme="1"/>
        <rFont val="Calibri"/>
        <family val="2"/>
        <charset val="204"/>
      </rPr>
      <t>²</t>
    </r>
    <r>
      <rPr>
        <vertAlign val="subscript"/>
        <sz val="11"/>
        <color theme="1"/>
        <rFont val="Calibri"/>
        <family val="2"/>
        <charset val="204"/>
      </rPr>
      <t>скорр</t>
    </r>
  </si>
  <si>
    <t>r</t>
  </si>
  <si>
    <t>Номер (x)</t>
  </si>
  <si>
    <r>
      <t>Остаток (</t>
    </r>
    <r>
      <rPr>
        <sz val="11"/>
        <color theme="1"/>
        <rFont val="Calibri"/>
        <family val="2"/>
        <charset val="204"/>
      </rPr>
      <t>ε</t>
    </r>
    <r>
      <rPr>
        <sz val="11"/>
        <color theme="1"/>
        <rFont val="Calibri"/>
        <family val="2"/>
        <charset val="204"/>
        <scheme val="minor"/>
      </rPr>
      <t>)</t>
    </r>
  </si>
  <si>
    <t>Тест Гольдфельда-Квандта</t>
  </si>
  <si>
    <t>Остаток (ε)</t>
  </si>
  <si>
    <r>
      <t>SS</t>
    </r>
    <r>
      <rPr>
        <vertAlign val="subscript"/>
        <sz val="11"/>
        <color theme="1"/>
        <rFont val="Calibri"/>
        <family val="2"/>
        <charset val="204"/>
        <scheme val="minor"/>
      </rPr>
      <t>ост1</t>
    </r>
  </si>
  <si>
    <r>
      <t>SS</t>
    </r>
    <r>
      <rPr>
        <vertAlign val="subscript"/>
        <sz val="11"/>
        <color theme="1"/>
        <rFont val="Calibri"/>
        <family val="2"/>
        <charset val="204"/>
        <scheme val="minor"/>
      </rPr>
      <t>ост2</t>
    </r>
  </si>
  <si>
    <t>F_fact &lt; F_crit Следовательно, остатки гомоскедастичны</t>
  </si>
  <si>
    <t>R(x)</t>
  </si>
  <si>
    <t>R(ε)</t>
  </si>
  <si>
    <t>|e|</t>
  </si>
  <si>
    <t>t_crit</t>
  </si>
  <si>
    <t>|t_p| &lt; t_crit Следовательно, остатки гомоскедастичны</t>
  </si>
  <si>
    <t>|t_p|</t>
  </si>
  <si>
    <t>ε²</t>
  </si>
  <si>
    <t>x</t>
  </si>
  <si>
    <t>x²</t>
  </si>
  <si>
    <t>F-критерий (p-value)</t>
  </si>
  <si>
    <t>p-value &gt; 0,05 Следовательно, остатки гомоскедастичны</t>
  </si>
  <si>
    <t>Тест Уайта</t>
  </si>
  <si>
    <t>ln(ε²)</t>
  </si>
  <si>
    <t>ln(x)</t>
  </si>
  <si>
    <t>Тест Парка</t>
  </si>
  <si>
    <t>b1 (p-value)</t>
  </si>
  <si>
    <t>Больше 0,05 то есть, остатки гомоскедастичны</t>
  </si>
  <si>
    <t>Тест Глейзера</t>
  </si>
  <si>
    <t>x^(-1)</t>
  </si>
  <si>
    <t>x^(-0,5)</t>
  </si>
  <si>
    <t>x^(0,5)</t>
  </si>
  <si>
    <t>x^(1)</t>
  </si>
  <si>
    <t>1 Регрессия</t>
  </si>
  <si>
    <t>2 Регрессия</t>
  </si>
  <si>
    <t>3 Регрессия</t>
  </si>
  <si>
    <t>4 Регрессия</t>
  </si>
  <si>
    <t>Все значения pvalue больше 0,05 то есть, остатки гомоскедастичны</t>
  </si>
  <si>
    <t>Часть 1: Проверка гипотезы и выводы</t>
  </si>
  <si>
    <t>Данные по модели случайных остатков</t>
  </si>
  <si>
    <t>m</t>
  </si>
  <si>
    <t>F_fact &gt; F_crit то есть, остатки гетероскедастичны</t>
  </si>
  <si>
    <t>Таким образом, нарушается одна из предпосылок МНК, и оценки считаются ненадежными, а модель неточной</t>
  </si>
  <si>
    <t>Часть 2: Анализ случайных остатков модели</t>
  </si>
  <si>
    <t>Цель анализа</t>
  </si>
  <si>
    <t>Проверить, являются ли значимы параметры регрессии, чтобы сделать вывод о гомоскедастичности случайных остатков</t>
  </si>
  <si>
    <t>Методы</t>
  </si>
  <si>
    <t>Используется тест Парка (1) и тест Глейзера при k=-1 (2)</t>
  </si>
  <si>
    <t>t_fact (1)</t>
  </si>
  <si>
    <t>t_fact (2)</t>
  </si>
  <si>
    <t>Тест Парка показал, что |t_fact| &gt; t_crit, что говорит об отвержении нулевой гипотезы об гомоскедастичности случайных остатков</t>
  </si>
  <si>
    <t>Тест Глейзера при k=-1 показат, что t_fact &lt; t_crit, то есть, не отвергаем гипотезу о гомоскедастичности случайных остатков</t>
  </si>
  <si>
    <r>
      <t>ln(b</t>
    </r>
    <r>
      <rPr>
        <vertAlign val="subscript"/>
        <sz val="11"/>
        <color theme="1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charset val="204"/>
        <scheme val="minor"/>
      </rPr>
      <t>)</t>
    </r>
  </si>
  <si>
    <r>
      <t>ln(</t>
    </r>
    <r>
      <rPr>
        <sz val="11"/>
        <color theme="1"/>
        <rFont val="Calibri"/>
        <family val="2"/>
        <charset val="204"/>
      </rPr>
      <t>ŷ</t>
    </r>
    <r>
      <rPr>
        <vertAlign val="subscript"/>
        <sz val="11"/>
        <color theme="1"/>
        <rFont val="Calibri"/>
        <family val="2"/>
        <charset val="204"/>
        <scheme val="minor"/>
      </rPr>
      <t>пр</t>
    </r>
    <r>
      <rPr>
        <sz val="11"/>
        <color theme="1"/>
        <rFont val="Calibri"/>
        <family val="2"/>
        <charset val="204"/>
        <scheme val="minor"/>
      </rPr>
      <t>)</t>
    </r>
  </si>
  <si>
    <r>
      <t>ŷ</t>
    </r>
    <r>
      <rPr>
        <vertAlign val="subscript"/>
        <sz val="11"/>
        <color theme="1"/>
        <rFont val="Calibri"/>
        <family val="2"/>
        <charset val="204"/>
        <scheme val="minor"/>
      </rPr>
      <t>пр</t>
    </r>
  </si>
  <si>
    <r>
      <t>se(ln(ŷ</t>
    </r>
    <r>
      <rPr>
        <vertAlign val="subscript"/>
        <sz val="11"/>
        <color theme="1"/>
        <rFont val="Calibri"/>
        <family val="2"/>
        <charset val="204"/>
        <scheme val="minor"/>
      </rPr>
      <t>пр</t>
    </r>
    <r>
      <rPr>
        <sz val="11"/>
        <color theme="1"/>
        <rFont val="Calibri"/>
        <family val="2"/>
        <charset val="204"/>
        <scheme val="minor"/>
      </rPr>
      <t>))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</si>
  <si>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2,пр</t>
    </r>
  </si>
  <si>
    <r>
      <t>ln(x</t>
    </r>
    <r>
      <rPr>
        <vertAlign val="subscript"/>
        <sz val="11"/>
        <color theme="1"/>
        <rFont val="Calibri"/>
        <family val="2"/>
        <charset val="204"/>
        <scheme val="minor"/>
      </rPr>
      <t>2,пр</t>
    </r>
    <r>
      <rPr>
        <sz val="11"/>
        <color theme="1"/>
        <rFont val="Calibri"/>
        <family val="2"/>
        <charset val="204"/>
        <scheme val="minor"/>
      </rPr>
      <t>)</t>
    </r>
  </si>
  <si>
    <r>
      <t>ln(x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)</t>
    </r>
    <r>
      <rPr>
        <vertAlign val="subscript"/>
        <sz val="11"/>
        <color theme="1"/>
        <rFont val="Calibri"/>
        <family val="2"/>
        <charset val="204"/>
        <scheme val="minor"/>
      </rPr>
      <t>ср</t>
    </r>
  </si>
  <si>
    <t>Точечный прогноз</t>
  </si>
  <si>
    <t>Интервальный прогноз</t>
  </si>
  <si>
    <r>
      <t>ln(ŷ</t>
    </r>
    <r>
      <rPr>
        <vertAlign val="subscript"/>
        <sz val="11"/>
        <color theme="1"/>
        <rFont val="Calibri"/>
        <family val="2"/>
        <charset val="204"/>
        <scheme val="minor"/>
      </rPr>
      <t>min</t>
    </r>
    <r>
      <rPr>
        <sz val="11"/>
        <color theme="1"/>
        <rFont val="Calibri"/>
        <family val="2"/>
        <charset val="204"/>
        <scheme val="minor"/>
      </rPr>
      <t>)</t>
    </r>
  </si>
  <si>
    <r>
      <t>ln(ŷ</t>
    </r>
    <r>
      <rPr>
        <vertAlign val="subscript"/>
        <sz val="11"/>
        <color theme="1"/>
        <rFont val="Calibri"/>
        <family val="2"/>
        <charset val="204"/>
        <scheme val="minor"/>
      </rPr>
      <t>max</t>
    </r>
    <r>
      <rPr>
        <sz val="11"/>
        <color theme="1"/>
        <rFont val="Calibri"/>
        <family val="2"/>
        <charset val="204"/>
        <scheme val="minor"/>
      </rPr>
      <t>)</t>
    </r>
  </si>
  <si>
    <t>Параметры модели</t>
  </si>
  <si>
    <r>
      <rPr>
        <sz val="11"/>
        <color theme="1"/>
        <rFont val="Calibri"/>
        <family val="2"/>
        <charset val="204"/>
      </rPr>
      <t>b̂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</si>
  <si>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Найдем среднюю ошибку прогноза</t>
  </si>
  <si>
    <r>
      <t>Задача: Найди прогноз для x</t>
    </r>
    <r>
      <rPr>
        <b/>
        <vertAlign val="subscript"/>
        <sz val="11"/>
        <color theme="1"/>
        <rFont val="Calibri"/>
        <family val="2"/>
        <charset val="204"/>
        <scheme val="minor"/>
      </rPr>
      <t>2,пр</t>
    </r>
    <r>
      <rPr>
        <b/>
        <sz val="11"/>
        <color theme="1"/>
        <rFont val="Calibri"/>
        <family val="2"/>
        <charset val="204"/>
        <scheme val="minor"/>
      </rPr>
      <t xml:space="preserve"> = 30</t>
    </r>
  </si>
  <si>
    <t>женский</t>
  </si>
  <si>
    <t>мужской</t>
  </si>
  <si>
    <t>Пол</t>
  </si>
  <si>
    <t>Заработная плата, евро (y)</t>
  </si>
  <si>
    <t>Образование, лет (x1)</t>
  </si>
  <si>
    <t>Возраст, лет (x2)</t>
  </si>
  <si>
    <t>Фиктивная переменная (z)</t>
  </si>
  <si>
    <t>x1 * z</t>
  </si>
  <si>
    <t>x2 * z</t>
  </si>
  <si>
    <t>Если нам важна значимость всех параметров больше, чем наибольший R^2, то в качесвте наиболее точной модели выберем первую</t>
  </si>
  <si>
    <t>1. Модель с фиктивными переменнами сдвига</t>
  </si>
  <si>
    <t>2. Модель с фиктивными переменнами наклона</t>
  </si>
  <si>
    <t>3. Модель с фиктивными переменнами общего вида</t>
  </si>
  <si>
    <t>Предсказанное Заработная плата, евро (y)</t>
  </si>
  <si>
    <t>Анализ модели на гомоскедастичность (тест Уайта)</t>
  </si>
  <si>
    <t>x1^2</t>
  </si>
  <si>
    <t>x2^2</t>
  </si>
  <si>
    <t>Значимость F &gt; 0,05 то есть, не следует отвергать нулевую гипотезу о том, что дисперсия случайных остатков гомоскедастична</t>
  </si>
  <si>
    <t>Анализ нормальности случайных остатков (RS тест)</t>
  </si>
  <si>
    <t>Rsmin</t>
  </si>
  <si>
    <t>Rsmax</t>
  </si>
  <si>
    <t>Следовательно, не следует отвергать нулевую гипотезу о нормальности распределения случайных остатков</t>
  </si>
  <si>
    <t>Анализ однородности совокупности (Тест Чоу)</t>
  </si>
  <si>
    <t>Регрессия при z=0</t>
  </si>
  <si>
    <t>Регрессия при z=1</t>
  </si>
  <si>
    <r>
      <t>SS</t>
    </r>
    <r>
      <rPr>
        <vertAlign val="superscript"/>
        <sz val="11"/>
        <color theme="1"/>
        <rFont val="Calibri"/>
        <family val="2"/>
        <charset val="204"/>
        <scheme val="minor"/>
      </rPr>
      <t>0</t>
    </r>
    <r>
      <rPr>
        <vertAlign val="subscript"/>
        <sz val="11"/>
        <color theme="1"/>
        <rFont val="Calibri"/>
        <family val="2"/>
        <charset val="204"/>
        <scheme val="minor"/>
      </rPr>
      <t>ост</t>
    </r>
  </si>
  <si>
    <r>
      <t>SS</t>
    </r>
    <r>
      <rPr>
        <vertAlign val="superscript"/>
        <sz val="11"/>
        <color theme="1"/>
        <rFont val="Calibri"/>
        <family val="2"/>
        <charset val="204"/>
        <scheme val="minor"/>
      </rPr>
      <t>1</t>
    </r>
    <r>
      <rPr>
        <vertAlign val="subscript"/>
        <sz val="11"/>
        <color theme="1"/>
        <rFont val="Calibri"/>
        <family val="2"/>
        <charset val="204"/>
        <scheme val="minor"/>
      </rPr>
      <t>ост</t>
    </r>
  </si>
  <si>
    <r>
      <t>SS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vertAlign val="subscript"/>
        <sz val="11"/>
        <color theme="1"/>
        <rFont val="Calibri"/>
        <family val="2"/>
        <charset val="204"/>
        <scheme val="minor"/>
      </rPr>
      <t>ост</t>
    </r>
  </si>
  <si>
    <t>k</t>
  </si>
  <si>
    <t>m1</t>
  </si>
  <si>
    <t>m2</t>
  </si>
  <si>
    <t>Следовательно, не следует отвергнуть нулевую гипотезу об однородности совокупности, то есть, нет необходимости делить совокупность на две.</t>
  </si>
  <si>
    <t>Задача 1</t>
  </si>
  <si>
    <t>Эндогенные</t>
  </si>
  <si>
    <t>Экзогенные</t>
  </si>
  <si>
    <t>Определим переменные:</t>
  </si>
  <si>
    <r>
      <t>M</t>
    </r>
    <r>
      <rPr>
        <vertAlign val="subscript"/>
        <sz val="11"/>
        <color theme="1"/>
        <rFont val="Calibri"/>
        <family val="2"/>
        <charset val="204"/>
        <scheme val="minor"/>
      </rPr>
      <t>t</t>
    </r>
    <r>
      <rPr>
        <sz val="11"/>
        <color theme="1"/>
        <rFont val="Calibri"/>
        <family val="2"/>
        <charset val="204"/>
        <scheme val="minor"/>
      </rPr>
      <t xml:space="preserve"> I</t>
    </r>
    <r>
      <rPr>
        <vertAlign val="subscript"/>
        <sz val="11"/>
        <color theme="1"/>
        <rFont val="Calibri"/>
        <family val="2"/>
        <charset val="204"/>
        <scheme val="minor"/>
      </rPr>
      <t>t</t>
    </r>
  </si>
  <si>
    <r>
      <t>R</t>
    </r>
    <r>
      <rPr>
        <vertAlign val="subscript"/>
        <sz val="11"/>
        <color theme="1"/>
        <rFont val="Calibri"/>
        <family val="2"/>
        <charset val="204"/>
        <scheme val="minor"/>
      </rPr>
      <t xml:space="preserve">t </t>
    </r>
    <r>
      <rPr>
        <sz val="11"/>
        <color theme="1"/>
        <rFont val="Calibri"/>
        <family val="2"/>
        <charset val="204"/>
        <scheme val="minor"/>
      </rPr>
      <t>Y</t>
    </r>
    <r>
      <rPr>
        <vertAlign val="subscript"/>
        <sz val="11"/>
        <color theme="1"/>
        <rFont val="Calibri"/>
        <family val="2"/>
        <charset val="204"/>
        <scheme val="minor"/>
      </rPr>
      <t>t</t>
    </r>
  </si>
  <si>
    <t>Необходимость</t>
  </si>
  <si>
    <t>1 уравнение</t>
  </si>
  <si>
    <t>2 уравнение</t>
  </si>
  <si>
    <t>H</t>
  </si>
  <si>
    <t>D</t>
  </si>
  <si>
    <t>Тип уравнения</t>
  </si>
  <si>
    <t>Достаточность</t>
  </si>
  <si>
    <t>3 уравнение</t>
  </si>
  <si>
    <t>4 уравнение</t>
  </si>
  <si>
    <t>Ранк</t>
  </si>
  <si>
    <t>K</t>
  </si>
  <si>
    <t>1. Проверим условия идентификации:</t>
  </si>
  <si>
    <t>2. Метод оценки папаметров:</t>
  </si>
  <si>
    <t>Так как все уравнения точно индентифицируемы, то и система уравнений являтеся точно индентифицируемой. В таком случае следует применить косвенный метод наиеньших квадратов (КМНК)</t>
  </si>
  <si>
    <t>3. Приведенная форма модели:</t>
  </si>
  <si>
    <t>Задача 2</t>
  </si>
  <si>
    <t>Лаговые</t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</si>
  <si>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 xml:space="preserve">t </t>
    </r>
    <r>
      <rPr>
        <sz val="11"/>
        <color theme="1"/>
        <rFont val="Calibri"/>
        <family val="2"/>
        <charset val="204"/>
        <scheme val="minor"/>
      </rPr>
      <t>I</t>
    </r>
    <r>
      <rPr>
        <vertAlign val="subscript"/>
        <sz val="11"/>
        <color theme="1"/>
        <rFont val="Calibri"/>
        <family val="2"/>
        <charset val="204"/>
        <scheme val="minor"/>
      </rPr>
      <t>t</t>
    </r>
    <r>
      <rPr>
        <sz val="11"/>
        <color theme="1"/>
        <rFont val="Calibri"/>
        <family val="2"/>
        <charset val="204"/>
        <scheme val="minor"/>
      </rPr>
      <t xml:space="preserve"> C</t>
    </r>
    <r>
      <rPr>
        <vertAlign val="subscript"/>
        <sz val="11"/>
        <color theme="1"/>
        <rFont val="Calibri"/>
        <family val="2"/>
        <charset val="204"/>
        <scheme val="minor"/>
      </rPr>
      <t>t</t>
    </r>
    <r>
      <rPr>
        <sz val="11"/>
        <color theme="1"/>
        <rFont val="Calibri"/>
        <family val="2"/>
        <charset val="204"/>
        <scheme val="minor"/>
      </rPr>
      <t xml:space="preserve"> Q</t>
    </r>
    <r>
      <rPr>
        <vertAlign val="subscript"/>
        <sz val="11"/>
        <color theme="1"/>
        <rFont val="Calibri"/>
        <family val="2"/>
        <charset val="204"/>
        <scheme val="minor"/>
      </rPr>
      <t>t</t>
    </r>
  </si>
  <si>
    <r>
      <t>P</t>
    </r>
    <r>
      <rPr>
        <vertAlign val="subscript"/>
        <sz val="11"/>
        <color theme="1"/>
        <rFont val="Calibri"/>
        <family val="2"/>
        <charset val="204"/>
        <scheme val="minor"/>
      </rPr>
      <t>t</t>
    </r>
    <r>
      <rPr>
        <sz val="11"/>
        <color theme="1"/>
        <rFont val="Calibri"/>
        <family val="2"/>
        <charset val="204"/>
        <scheme val="minor"/>
      </rPr>
      <t xml:space="preserve"> R</t>
    </r>
    <r>
      <rPr>
        <vertAlign val="subscript"/>
        <sz val="11"/>
        <color theme="1"/>
        <rFont val="Calibri"/>
        <family val="2"/>
        <charset val="204"/>
        <scheme val="minor"/>
      </rPr>
      <t>t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</si>
  <si>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t-1</t>
    </r>
    <r>
      <rPr>
        <sz val="11"/>
        <color theme="1"/>
        <rFont val="Calibri"/>
        <family val="2"/>
        <charset val="204"/>
        <scheme val="minor"/>
      </rPr>
      <t xml:space="preserve"> C</t>
    </r>
    <r>
      <rPr>
        <vertAlign val="subscript"/>
        <sz val="11"/>
        <color theme="1"/>
        <rFont val="Calibri"/>
        <family val="2"/>
        <charset val="204"/>
        <scheme val="minor"/>
      </rPr>
      <t xml:space="preserve">t-1 </t>
    </r>
    <r>
      <rPr>
        <sz val="11"/>
        <color theme="1"/>
        <rFont val="Calibri"/>
        <family val="2"/>
        <charset val="204"/>
        <scheme val="minor"/>
      </rPr>
      <t>Q</t>
    </r>
    <r>
      <rPr>
        <vertAlign val="subscript"/>
        <sz val="11"/>
        <color theme="1"/>
        <rFont val="Calibri"/>
        <family val="2"/>
        <charset val="204"/>
        <scheme val="minor"/>
      </rPr>
      <t xml:space="preserve">t-1 </t>
    </r>
  </si>
  <si>
    <t>Так как есть сверхидентифицированные уравнения в системе, то следует применять для оценки параметров двухэтапный метод наименьших квадратов (ДМНК), так как КМНК будет неточен при сверхидентифицированных уравнениях</t>
  </si>
  <si>
    <t>Задача 3</t>
  </si>
  <si>
    <t>y1, y2, y3</t>
  </si>
  <si>
    <t>x1, x2, x3</t>
  </si>
  <si>
    <t>СФМ</t>
  </si>
  <si>
    <t>Y1=f(Y3,X1,X2)</t>
  </si>
  <si>
    <t>(функции f являются линейныеми регрессиями)</t>
  </si>
  <si>
    <t>Y2=f(X2,X3)</t>
  </si>
  <si>
    <t>Y3=f(Y1,Y2,X2)</t>
  </si>
  <si>
    <t>Проверьте систему на идентифицированность</t>
  </si>
  <si>
    <t>Укажите способ ее решения и примените его, использовав приведенные ниже данные</t>
  </si>
  <si>
    <t>у1</t>
  </si>
  <si>
    <t>у2</t>
  </si>
  <si>
    <t>у3</t>
  </si>
  <si>
    <t>х1</t>
  </si>
  <si>
    <t>х2</t>
  </si>
  <si>
    <t>х3</t>
  </si>
  <si>
    <t>1. Проверим систему на идентифицированность</t>
  </si>
  <si>
    <t>Следовательно, система сверхидентифицирована, так как 2 уравнение сверхидентифицировано</t>
  </si>
  <si>
    <t>2. Способ решения: ДМНК (так как 2 уравнение - сверхидентифицировано)</t>
  </si>
  <si>
    <t>Предсказанное у1</t>
  </si>
  <si>
    <t>y3 = f(x1, x2, x3)</t>
  </si>
  <si>
    <t>y1 = f(x1, x2, x3)</t>
  </si>
  <si>
    <t>Предсказанное у2</t>
  </si>
  <si>
    <t>y2 = f(x1, x2, x3)</t>
  </si>
  <si>
    <t>Предсказанное у3</t>
  </si>
  <si>
    <r>
      <t>y</t>
    </r>
    <r>
      <rPr>
        <sz val="11"/>
        <color theme="1"/>
        <rFont val="Calibri"/>
        <family val="2"/>
        <charset val="204"/>
      </rPr>
      <t>̂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</si>
  <si>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y</t>
    </r>
    <r>
      <rPr>
        <sz val="11"/>
        <color theme="1"/>
        <rFont val="Calibri"/>
        <family val="2"/>
        <charset val="204"/>
      </rPr>
      <t>̂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</si>
  <si>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r>
      <t>y</t>
    </r>
    <r>
      <rPr>
        <sz val="11"/>
        <color theme="1"/>
        <rFont val="Calibri"/>
        <family val="2"/>
        <charset val="204"/>
      </rPr>
      <t>̂</t>
    </r>
    <r>
      <rPr>
        <vertAlign val="subscript"/>
        <sz val="11"/>
        <color theme="1"/>
        <rFont val="Calibri"/>
        <family val="2"/>
        <charset val="204"/>
        <scheme val="minor"/>
      </rPr>
      <t>3</t>
    </r>
  </si>
  <si>
    <t xml:space="preserve">Расчетные </t>
  </si>
  <si>
    <t>Первый МНК</t>
  </si>
  <si>
    <t>Второй МНК</t>
  </si>
  <si>
    <r>
      <t>y2 = f(x</t>
    </r>
    <r>
      <rPr>
        <b/>
        <vertAlign val="subscript"/>
        <sz val="11"/>
        <color theme="1"/>
        <rFont val="Calibri"/>
        <family val="2"/>
        <charset val="204"/>
        <scheme val="minor"/>
      </rPr>
      <t>2</t>
    </r>
    <r>
      <rPr>
        <b/>
        <sz val="11"/>
        <color theme="1"/>
        <rFont val="Calibri"/>
        <family val="2"/>
        <charset val="204"/>
        <scheme val="minor"/>
      </rPr>
      <t>, x</t>
    </r>
    <r>
      <rPr>
        <b/>
        <vertAlign val="subscript"/>
        <sz val="11"/>
        <color theme="1"/>
        <rFont val="Calibri"/>
        <family val="2"/>
        <charset val="204"/>
        <scheme val="minor"/>
      </rPr>
      <t>3</t>
    </r>
    <r>
      <rPr>
        <b/>
        <sz val="11"/>
        <color theme="1"/>
        <rFont val="Calibri"/>
        <family val="2"/>
        <charset val="204"/>
        <scheme val="minor"/>
      </rPr>
      <t>)</t>
    </r>
  </si>
  <si>
    <r>
      <t>y1 = f(x</t>
    </r>
    <r>
      <rPr>
        <b/>
        <vertAlign val="subscript"/>
        <sz val="11"/>
        <color theme="1"/>
        <rFont val="Calibri"/>
        <family val="2"/>
        <charset val="204"/>
        <scheme val="minor"/>
      </rPr>
      <t>1</t>
    </r>
    <r>
      <rPr>
        <b/>
        <sz val="11"/>
        <color theme="1"/>
        <rFont val="Calibri"/>
        <family val="2"/>
        <charset val="204"/>
        <scheme val="minor"/>
      </rPr>
      <t>, x</t>
    </r>
    <r>
      <rPr>
        <b/>
        <vertAlign val="subscript"/>
        <sz val="11"/>
        <color theme="1"/>
        <rFont val="Calibri"/>
        <family val="2"/>
        <charset val="204"/>
        <scheme val="minor"/>
      </rPr>
      <t>2</t>
    </r>
    <r>
      <rPr>
        <b/>
        <sz val="11"/>
        <color theme="1"/>
        <rFont val="Calibri"/>
        <family val="2"/>
        <charset val="204"/>
        <scheme val="minor"/>
      </rPr>
      <t>, y</t>
    </r>
    <r>
      <rPr>
        <b/>
        <sz val="11"/>
        <color theme="1"/>
        <rFont val="Calibri"/>
        <family val="2"/>
        <charset val="204"/>
      </rPr>
      <t>̂</t>
    </r>
    <r>
      <rPr>
        <b/>
        <vertAlign val="subscript"/>
        <sz val="11"/>
        <color theme="1"/>
        <rFont val="Calibri"/>
        <family val="2"/>
        <charset val="204"/>
        <scheme val="minor"/>
      </rPr>
      <t>3</t>
    </r>
    <r>
      <rPr>
        <b/>
        <sz val="11"/>
        <color theme="1"/>
        <rFont val="Calibri"/>
        <family val="2"/>
        <charset val="204"/>
        <scheme val="minor"/>
      </rPr>
      <t>)</t>
    </r>
  </si>
  <si>
    <t>ŷ3</t>
  </si>
  <si>
    <r>
      <t>y3 = f(y</t>
    </r>
    <r>
      <rPr>
        <b/>
        <sz val="11"/>
        <color theme="1"/>
        <rFont val="Calibri"/>
        <family val="2"/>
        <charset val="204"/>
      </rPr>
      <t>̂</t>
    </r>
    <r>
      <rPr>
        <b/>
        <vertAlign val="subscript"/>
        <sz val="11"/>
        <color theme="1"/>
        <rFont val="Calibri"/>
        <family val="2"/>
        <charset val="204"/>
        <scheme val="minor"/>
      </rPr>
      <t>1</t>
    </r>
    <r>
      <rPr>
        <b/>
        <sz val="11"/>
        <color theme="1"/>
        <rFont val="Calibri"/>
        <family val="2"/>
        <charset val="204"/>
        <scheme val="minor"/>
      </rPr>
      <t>, y</t>
    </r>
    <r>
      <rPr>
        <b/>
        <sz val="11"/>
        <color theme="1"/>
        <rFont val="Calibri"/>
        <family val="2"/>
        <charset val="204"/>
      </rPr>
      <t>̂</t>
    </r>
    <r>
      <rPr>
        <b/>
        <vertAlign val="subscript"/>
        <sz val="11"/>
        <color theme="1"/>
        <rFont val="Calibri"/>
        <family val="2"/>
        <charset val="204"/>
        <scheme val="minor"/>
      </rPr>
      <t>2</t>
    </r>
    <r>
      <rPr>
        <b/>
        <sz val="11"/>
        <color theme="1"/>
        <rFont val="Calibri"/>
        <family val="2"/>
        <charset val="204"/>
        <scheme val="minor"/>
      </rPr>
      <t>, x</t>
    </r>
    <r>
      <rPr>
        <b/>
        <vertAlign val="subscript"/>
        <sz val="11"/>
        <color theme="1"/>
        <rFont val="Calibri"/>
        <family val="2"/>
        <charset val="204"/>
        <scheme val="minor"/>
      </rPr>
      <t>2</t>
    </r>
    <r>
      <rPr>
        <b/>
        <sz val="11"/>
        <color theme="1"/>
        <rFont val="Calibri"/>
        <family val="2"/>
        <charset val="204"/>
        <scheme val="minor"/>
      </rPr>
      <t>)</t>
    </r>
  </si>
  <si>
    <t>ŷ1</t>
  </si>
  <si>
    <t>ŷ2</t>
  </si>
  <si>
    <t>1. Есть ли тенденция в рядах?</t>
  </si>
  <si>
    <t>Период времени</t>
  </si>
  <si>
    <t>Ручной способ</t>
  </si>
  <si>
    <t>КОРРЕЛ</t>
  </si>
  <si>
    <t>Для стоимости основных фондов</t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</si>
  <si>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t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</si>
  <si>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t-1</t>
    </r>
  </si>
  <si>
    <t>t</t>
  </si>
  <si>
    <t>Среднеквадарическое отклонение</t>
  </si>
  <si>
    <t>Вывод</t>
  </si>
  <si>
    <t>Коэф корреляции показывает тесную связь, то есть, имеется тенденция</t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</si>
  <si>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t</t>
    </r>
    <r>
      <rPr>
        <sz val="11"/>
        <color theme="1"/>
        <rFont val="Calibri"/>
        <family val="2"/>
        <charset val="204"/>
        <scheme val="minor"/>
      </rPr>
      <t>*y</t>
    </r>
    <r>
      <rPr>
        <vertAlign val="subscript"/>
        <sz val="11"/>
        <color theme="1"/>
        <rFont val="Calibri"/>
        <family val="2"/>
        <charset val="204"/>
        <scheme val="minor"/>
      </rPr>
      <t>t-1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</si>
  <si>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t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</si>
  <si>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t-1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</si>
  <si>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t</t>
    </r>
    <r>
      <rPr>
        <sz val="11"/>
        <color theme="1"/>
        <rFont val="Calibri"/>
        <family val="2"/>
        <charset val="204"/>
        <scheme val="minor"/>
      </rPr>
      <t>*x</t>
    </r>
    <r>
      <rPr>
        <vertAlign val="subscript"/>
        <sz val="11"/>
        <color theme="1"/>
        <rFont val="Calibri"/>
        <family val="2"/>
        <charset val="204"/>
        <scheme val="minor"/>
      </rPr>
      <t>t-1</t>
    </r>
  </si>
  <si>
    <t>Коэф корреляции показывает очень тесную связь, то есть, имеется тенденция</t>
  </si>
  <si>
    <t>Для дивединдов по обыкновенным акциям</t>
  </si>
  <si>
    <t>1.1 Графический метод (кажется, что тенденция имеется, однако данный метод оценки является неточным)</t>
  </si>
  <si>
    <t>1.2 Автокорреляционная функция (рассчитаем автокорреляцию при лаге = 1)</t>
  </si>
  <si>
    <t>1.3 Проверка значимости детерминированного тренда</t>
  </si>
  <si>
    <t>Стоимость основных фондов млн. руб. (y)</t>
  </si>
  <si>
    <t>Дивиденды по обыкновенным акциям % (x)</t>
  </si>
  <si>
    <t>Для функции y(t)</t>
  </si>
  <si>
    <t>Для функции x(t)</t>
  </si>
  <si>
    <t>2. Поиск наилучшего уравнения тренда</t>
  </si>
  <si>
    <t>Линейный</t>
  </si>
  <si>
    <t>Степенная</t>
  </si>
  <si>
    <t>x(t)</t>
  </si>
  <si>
    <t>Ряд</t>
  </si>
  <si>
    <t>y(t)</t>
  </si>
  <si>
    <t xml:space="preserve">Значимость </t>
  </si>
  <si>
    <r>
      <t>Качество аппроксимации (R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)</t>
    </r>
  </si>
  <si>
    <t>Все параметры значимы</t>
  </si>
  <si>
    <t>z = 1 / t</t>
  </si>
  <si>
    <t>Период времени (t)</t>
  </si>
  <si>
    <r>
      <t>Уравнение: y = b</t>
    </r>
    <r>
      <rPr>
        <b/>
        <vertAlign val="subscript"/>
        <sz val="11"/>
        <color theme="1"/>
        <rFont val="Calibri"/>
        <family val="2"/>
        <charset val="204"/>
        <scheme val="minor"/>
      </rPr>
      <t>0</t>
    </r>
    <r>
      <rPr>
        <b/>
        <sz val="11"/>
        <color theme="1"/>
        <rFont val="Calibri"/>
        <family val="2"/>
        <charset val="204"/>
        <scheme val="minor"/>
      </rPr>
      <t xml:space="preserve"> + b</t>
    </r>
    <r>
      <rPr>
        <b/>
        <vertAlign val="subscript"/>
        <sz val="11"/>
        <color theme="1"/>
        <rFont val="Calibri"/>
        <family val="2"/>
        <charset val="204"/>
        <scheme val="minor"/>
      </rPr>
      <t xml:space="preserve">1 </t>
    </r>
    <r>
      <rPr>
        <b/>
        <sz val="11"/>
        <color theme="1"/>
        <rFont val="Calibri"/>
        <family val="2"/>
        <charset val="204"/>
        <scheme val="minor"/>
      </rPr>
      <t xml:space="preserve">* z + </t>
    </r>
    <r>
      <rPr>
        <b/>
        <sz val="11"/>
        <color theme="1"/>
        <rFont val="Calibri"/>
        <family val="2"/>
        <charset val="204"/>
      </rPr>
      <t>ε</t>
    </r>
  </si>
  <si>
    <r>
      <t>Уравнение: x = b</t>
    </r>
    <r>
      <rPr>
        <b/>
        <vertAlign val="subscript"/>
        <sz val="11"/>
        <color theme="1"/>
        <rFont val="Calibri"/>
        <family val="2"/>
        <charset val="204"/>
        <scheme val="minor"/>
      </rPr>
      <t>0</t>
    </r>
    <r>
      <rPr>
        <b/>
        <sz val="11"/>
        <color theme="1"/>
        <rFont val="Calibri"/>
        <family val="2"/>
        <charset val="204"/>
        <scheme val="minor"/>
      </rPr>
      <t xml:space="preserve"> + b</t>
    </r>
    <r>
      <rPr>
        <b/>
        <vertAlign val="subscript"/>
        <sz val="11"/>
        <color theme="1"/>
        <rFont val="Calibri"/>
        <family val="2"/>
        <charset val="204"/>
        <scheme val="minor"/>
      </rPr>
      <t xml:space="preserve">1 </t>
    </r>
    <r>
      <rPr>
        <b/>
        <sz val="11"/>
        <color theme="1"/>
        <rFont val="Calibri"/>
        <family val="2"/>
        <charset val="204"/>
        <scheme val="minor"/>
      </rPr>
      <t xml:space="preserve">* z + </t>
    </r>
    <r>
      <rPr>
        <b/>
        <sz val="11"/>
        <color theme="1"/>
        <rFont val="Calibri"/>
        <family val="2"/>
        <charset val="204"/>
      </rPr>
      <t>ε</t>
    </r>
  </si>
  <si>
    <r>
      <t>Уравнение: y = b</t>
    </r>
    <r>
      <rPr>
        <b/>
        <vertAlign val="subscript"/>
        <sz val="11"/>
        <color theme="1"/>
        <rFont val="Calibri"/>
        <family val="2"/>
        <charset val="204"/>
        <scheme val="minor"/>
      </rPr>
      <t>0</t>
    </r>
    <r>
      <rPr>
        <b/>
        <sz val="11"/>
        <color theme="1"/>
        <rFont val="Calibri"/>
        <family val="2"/>
        <charset val="204"/>
        <scheme val="minor"/>
      </rPr>
      <t xml:space="preserve"> + b</t>
    </r>
    <r>
      <rPr>
        <b/>
        <vertAlign val="subscript"/>
        <sz val="11"/>
        <color theme="1"/>
        <rFont val="Calibri"/>
        <family val="2"/>
        <charset val="204"/>
        <scheme val="minor"/>
      </rPr>
      <t xml:space="preserve">1 </t>
    </r>
    <r>
      <rPr>
        <b/>
        <sz val="11"/>
        <color theme="1"/>
        <rFont val="Calibri"/>
        <family val="2"/>
        <charset val="204"/>
        <scheme val="minor"/>
      </rPr>
      <t>z</t>
    </r>
    <r>
      <rPr>
        <b/>
        <vertAlign val="subscript"/>
        <sz val="11"/>
        <color theme="1"/>
        <rFont val="Calibri"/>
        <family val="2"/>
        <charset val="204"/>
        <scheme val="minor"/>
      </rPr>
      <t>1</t>
    </r>
    <r>
      <rPr>
        <b/>
        <sz val="11"/>
        <color theme="1"/>
        <rFont val="Calibri"/>
        <family val="2"/>
        <charset val="204"/>
        <scheme val="minor"/>
      </rPr>
      <t xml:space="preserve"> + b</t>
    </r>
    <r>
      <rPr>
        <b/>
        <vertAlign val="subscript"/>
        <sz val="11"/>
        <color theme="1"/>
        <rFont val="Calibri"/>
        <family val="2"/>
        <charset val="204"/>
        <scheme val="minor"/>
      </rPr>
      <t>2</t>
    </r>
    <r>
      <rPr>
        <b/>
        <sz val="11"/>
        <color theme="1"/>
        <rFont val="Calibri"/>
        <family val="2"/>
        <charset val="204"/>
        <scheme val="minor"/>
      </rPr>
      <t>z</t>
    </r>
    <r>
      <rPr>
        <b/>
        <vertAlign val="subscript"/>
        <sz val="11"/>
        <color theme="1"/>
        <rFont val="Calibri"/>
        <family val="2"/>
        <charset val="204"/>
        <scheme val="minor"/>
      </rPr>
      <t>2</t>
    </r>
    <r>
      <rPr>
        <b/>
        <sz val="11"/>
        <color theme="1"/>
        <rFont val="Calibri"/>
        <family val="2"/>
        <charset val="204"/>
        <scheme val="minor"/>
      </rPr>
      <t xml:space="preserve"> + </t>
    </r>
    <r>
      <rPr>
        <b/>
        <sz val="11"/>
        <color theme="1"/>
        <rFont val="Calibri"/>
        <family val="2"/>
        <charset val="204"/>
      </rPr>
      <t>ε</t>
    </r>
  </si>
  <si>
    <t>z1 = t</t>
  </si>
  <si>
    <r>
      <t>z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 xml:space="preserve"> = t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</si>
  <si>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t>z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 xml:space="preserve"> = t</t>
    </r>
  </si>
  <si>
    <t>z2 = t2</t>
  </si>
  <si>
    <r>
      <t>Уравнение: x = b</t>
    </r>
    <r>
      <rPr>
        <b/>
        <vertAlign val="subscript"/>
        <sz val="11"/>
        <color theme="1"/>
        <rFont val="Calibri"/>
        <family val="2"/>
        <charset val="204"/>
        <scheme val="minor"/>
      </rPr>
      <t>0</t>
    </r>
    <r>
      <rPr>
        <b/>
        <sz val="11"/>
        <color theme="1"/>
        <rFont val="Calibri"/>
        <family val="2"/>
        <charset val="204"/>
        <scheme val="minor"/>
      </rPr>
      <t xml:space="preserve"> + b</t>
    </r>
    <r>
      <rPr>
        <b/>
        <vertAlign val="subscript"/>
        <sz val="11"/>
        <color theme="1"/>
        <rFont val="Calibri"/>
        <family val="2"/>
        <charset val="204"/>
        <scheme val="minor"/>
      </rPr>
      <t xml:space="preserve">1 </t>
    </r>
    <r>
      <rPr>
        <b/>
        <sz val="11"/>
        <color theme="1"/>
        <rFont val="Calibri"/>
        <family val="2"/>
        <charset val="204"/>
        <scheme val="minor"/>
      </rPr>
      <t>z</t>
    </r>
    <r>
      <rPr>
        <b/>
        <vertAlign val="subscript"/>
        <sz val="11"/>
        <color theme="1"/>
        <rFont val="Calibri"/>
        <family val="2"/>
        <charset val="204"/>
        <scheme val="minor"/>
      </rPr>
      <t>1</t>
    </r>
    <r>
      <rPr>
        <b/>
        <sz val="11"/>
        <color theme="1"/>
        <rFont val="Calibri"/>
        <family val="2"/>
        <charset val="204"/>
        <scheme val="minor"/>
      </rPr>
      <t xml:space="preserve"> + b</t>
    </r>
    <r>
      <rPr>
        <b/>
        <vertAlign val="subscript"/>
        <sz val="11"/>
        <color theme="1"/>
        <rFont val="Calibri"/>
        <family val="2"/>
        <charset val="204"/>
        <scheme val="minor"/>
      </rPr>
      <t>2</t>
    </r>
    <r>
      <rPr>
        <b/>
        <sz val="11"/>
        <color theme="1"/>
        <rFont val="Calibri"/>
        <family val="2"/>
        <charset val="204"/>
        <scheme val="minor"/>
      </rPr>
      <t>z</t>
    </r>
    <r>
      <rPr>
        <b/>
        <vertAlign val="subscript"/>
        <sz val="11"/>
        <color theme="1"/>
        <rFont val="Calibri"/>
        <family val="2"/>
        <charset val="204"/>
        <scheme val="minor"/>
      </rPr>
      <t>2</t>
    </r>
    <r>
      <rPr>
        <b/>
        <sz val="11"/>
        <color theme="1"/>
        <rFont val="Calibri"/>
        <family val="2"/>
        <charset val="204"/>
        <scheme val="minor"/>
      </rPr>
      <t xml:space="preserve"> + </t>
    </r>
    <r>
      <rPr>
        <b/>
        <sz val="11"/>
        <color theme="1"/>
        <rFont val="Calibri"/>
        <family val="2"/>
        <charset val="204"/>
      </rPr>
      <t>ε</t>
    </r>
  </si>
  <si>
    <r>
      <t>Уравнение: ln(y) = ln(b</t>
    </r>
    <r>
      <rPr>
        <b/>
        <vertAlign val="subscript"/>
        <sz val="11"/>
        <color theme="1"/>
        <rFont val="Calibri"/>
        <family val="2"/>
        <charset val="204"/>
        <scheme val="minor"/>
      </rPr>
      <t>0</t>
    </r>
    <r>
      <rPr>
        <b/>
        <sz val="11"/>
        <color theme="1"/>
        <rFont val="Calibri"/>
        <family val="2"/>
        <charset val="204"/>
        <scheme val="minor"/>
      </rPr>
      <t>)</t>
    </r>
    <r>
      <rPr>
        <b/>
        <vertAlign val="subscript"/>
        <sz val="11"/>
        <color theme="1"/>
        <rFont val="Calibri"/>
        <family val="2"/>
        <charset val="204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+ b</t>
    </r>
    <r>
      <rPr>
        <b/>
        <vertAlign val="subscript"/>
        <sz val="11"/>
        <color theme="1"/>
        <rFont val="Calibri"/>
        <family val="2"/>
        <charset val="204"/>
        <scheme val="minor"/>
      </rPr>
      <t>1</t>
    </r>
    <r>
      <rPr>
        <b/>
        <sz val="11"/>
        <color theme="1"/>
        <rFont val="Calibri"/>
        <family val="2"/>
        <charset val="204"/>
        <scheme val="minor"/>
      </rPr>
      <t xml:space="preserve"> ln(t) + ln(</t>
    </r>
    <r>
      <rPr>
        <b/>
        <sz val="11"/>
        <color theme="1"/>
        <rFont val="Calibri"/>
        <family val="2"/>
        <charset val="204"/>
      </rPr>
      <t>ε</t>
    </r>
    <r>
      <rPr>
        <b/>
        <sz val="11"/>
        <color theme="1"/>
        <rFont val="Calibri"/>
        <family val="2"/>
        <charset val="204"/>
        <scheme val="minor"/>
      </rPr>
      <t>)</t>
    </r>
  </si>
  <si>
    <t>ln(y)</t>
  </si>
  <si>
    <t>ln(t)</t>
  </si>
  <si>
    <r>
      <t>Уравнение: ln(x) = ln(b</t>
    </r>
    <r>
      <rPr>
        <b/>
        <vertAlign val="subscript"/>
        <sz val="11"/>
        <color theme="1"/>
        <rFont val="Calibri"/>
        <family val="2"/>
        <charset val="204"/>
        <scheme val="minor"/>
      </rPr>
      <t>0</t>
    </r>
    <r>
      <rPr>
        <b/>
        <sz val="11"/>
        <color theme="1"/>
        <rFont val="Calibri"/>
        <family val="2"/>
        <charset val="204"/>
        <scheme val="minor"/>
      </rPr>
      <t>)</t>
    </r>
    <r>
      <rPr>
        <b/>
        <vertAlign val="subscript"/>
        <sz val="11"/>
        <color theme="1"/>
        <rFont val="Calibri"/>
        <family val="2"/>
        <charset val="204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+ b</t>
    </r>
    <r>
      <rPr>
        <b/>
        <vertAlign val="subscript"/>
        <sz val="11"/>
        <color theme="1"/>
        <rFont val="Calibri"/>
        <family val="2"/>
        <charset val="204"/>
        <scheme val="minor"/>
      </rPr>
      <t>1</t>
    </r>
    <r>
      <rPr>
        <b/>
        <sz val="11"/>
        <color theme="1"/>
        <rFont val="Calibri"/>
        <family val="2"/>
        <charset val="204"/>
        <scheme val="minor"/>
      </rPr>
      <t xml:space="preserve"> ln(t) + ln(</t>
    </r>
    <r>
      <rPr>
        <b/>
        <sz val="11"/>
        <color theme="1"/>
        <rFont val="Calibri"/>
        <family val="2"/>
        <charset val="204"/>
      </rPr>
      <t>ε</t>
    </r>
    <r>
      <rPr>
        <b/>
        <sz val="11"/>
        <color theme="1"/>
        <rFont val="Calibri"/>
        <family val="2"/>
        <charset val="204"/>
        <scheme val="minor"/>
      </rPr>
      <t>)</t>
    </r>
  </si>
  <si>
    <r>
      <t>Уравнение: ln(y) = ln(b</t>
    </r>
    <r>
      <rPr>
        <b/>
        <vertAlign val="subscript"/>
        <sz val="11"/>
        <color theme="1"/>
        <rFont val="Calibri"/>
        <family val="2"/>
        <charset val="204"/>
        <scheme val="minor"/>
      </rPr>
      <t>0</t>
    </r>
    <r>
      <rPr>
        <b/>
        <sz val="11"/>
        <color theme="1"/>
        <rFont val="Calibri"/>
        <family val="2"/>
        <charset val="204"/>
        <scheme val="minor"/>
      </rPr>
      <t>)</t>
    </r>
    <r>
      <rPr>
        <b/>
        <vertAlign val="subscript"/>
        <sz val="11"/>
        <color theme="1"/>
        <rFont val="Calibri"/>
        <family val="2"/>
        <charset val="204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+ t ln(b</t>
    </r>
    <r>
      <rPr>
        <b/>
        <vertAlign val="subscript"/>
        <sz val="11"/>
        <color theme="1"/>
        <rFont val="Calibri"/>
        <family val="2"/>
        <charset val="204"/>
        <scheme val="minor"/>
      </rPr>
      <t>1</t>
    </r>
    <r>
      <rPr>
        <b/>
        <sz val="11"/>
        <color theme="1"/>
        <rFont val="Calibri"/>
        <family val="2"/>
        <charset val="204"/>
        <scheme val="minor"/>
      </rPr>
      <t>) + ln(</t>
    </r>
    <r>
      <rPr>
        <b/>
        <sz val="11"/>
        <color theme="1"/>
        <rFont val="Calibri"/>
        <family val="2"/>
        <charset val="204"/>
      </rPr>
      <t>ε</t>
    </r>
    <r>
      <rPr>
        <b/>
        <sz val="11"/>
        <color theme="1"/>
        <rFont val="Calibri"/>
        <family val="2"/>
        <charset val="204"/>
        <scheme val="minor"/>
      </rPr>
      <t>)</t>
    </r>
  </si>
  <si>
    <r>
      <t>Уравнение: ln(x) = ln(b</t>
    </r>
    <r>
      <rPr>
        <b/>
        <vertAlign val="subscript"/>
        <sz val="11"/>
        <color theme="1"/>
        <rFont val="Calibri"/>
        <family val="2"/>
        <charset val="204"/>
        <scheme val="minor"/>
      </rPr>
      <t>0</t>
    </r>
    <r>
      <rPr>
        <b/>
        <sz val="11"/>
        <color theme="1"/>
        <rFont val="Calibri"/>
        <family val="2"/>
        <charset val="204"/>
        <scheme val="minor"/>
      </rPr>
      <t>)</t>
    </r>
    <r>
      <rPr>
        <b/>
        <vertAlign val="subscript"/>
        <sz val="11"/>
        <color theme="1"/>
        <rFont val="Calibri"/>
        <family val="2"/>
        <charset val="204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+ t ln(b</t>
    </r>
    <r>
      <rPr>
        <b/>
        <vertAlign val="subscript"/>
        <sz val="11"/>
        <color theme="1"/>
        <rFont val="Calibri"/>
        <family val="2"/>
        <charset val="204"/>
        <scheme val="minor"/>
      </rPr>
      <t>1</t>
    </r>
    <r>
      <rPr>
        <b/>
        <sz val="11"/>
        <color theme="1"/>
        <rFont val="Calibri"/>
        <family val="2"/>
        <charset val="204"/>
        <scheme val="minor"/>
      </rPr>
      <t>) + ln(</t>
    </r>
    <r>
      <rPr>
        <b/>
        <sz val="11"/>
        <color theme="1"/>
        <rFont val="Calibri"/>
        <family val="2"/>
        <charset val="204"/>
      </rPr>
      <t>ε</t>
    </r>
    <r>
      <rPr>
        <b/>
        <sz val="11"/>
        <color theme="1"/>
        <rFont val="Calibri"/>
        <family val="2"/>
        <charset val="204"/>
        <scheme val="minor"/>
      </rPr>
      <t>)</t>
    </r>
  </si>
  <si>
    <r>
      <t>Уравнение: y = b</t>
    </r>
    <r>
      <rPr>
        <b/>
        <vertAlign val="subscript"/>
        <sz val="11"/>
        <color theme="1"/>
        <rFont val="Calibri"/>
        <family val="2"/>
        <charset val="204"/>
        <scheme val="minor"/>
      </rPr>
      <t xml:space="preserve">0 </t>
    </r>
    <r>
      <rPr>
        <b/>
        <sz val="11"/>
        <color theme="1"/>
        <rFont val="Calibri"/>
        <family val="2"/>
        <charset val="204"/>
        <scheme val="minor"/>
      </rPr>
      <t>+ b</t>
    </r>
    <r>
      <rPr>
        <b/>
        <vertAlign val="subscript"/>
        <sz val="11"/>
        <color theme="1"/>
        <rFont val="Calibri"/>
        <family val="2"/>
        <charset val="204"/>
        <scheme val="minor"/>
      </rPr>
      <t>1</t>
    </r>
    <r>
      <rPr>
        <b/>
        <sz val="11"/>
        <color theme="1"/>
        <rFont val="Calibri"/>
        <family val="2"/>
        <charset val="204"/>
        <scheme val="minor"/>
      </rPr>
      <t xml:space="preserve"> ln(t) + </t>
    </r>
    <r>
      <rPr>
        <b/>
        <sz val="11"/>
        <color theme="1"/>
        <rFont val="Calibri"/>
        <family val="2"/>
        <charset val="204"/>
      </rPr>
      <t>ε</t>
    </r>
  </si>
  <si>
    <r>
      <t>Уравнение: x = b</t>
    </r>
    <r>
      <rPr>
        <b/>
        <vertAlign val="subscript"/>
        <sz val="11"/>
        <color theme="1"/>
        <rFont val="Calibri"/>
        <family val="2"/>
        <charset val="204"/>
        <scheme val="minor"/>
      </rPr>
      <t xml:space="preserve">0 </t>
    </r>
    <r>
      <rPr>
        <b/>
        <sz val="11"/>
        <color theme="1"/>
        <rFont val="Calibri"/>
        <family val="2"/>
        <charset val="204"/>
        <scheme val="minor"/>
      </rPr>
      <t>+ b</t>
    </r>
    <r>
      <rPr>
        <b/>
        <vertAlign val="subscript"/>
        <sz val="11"/>
        <color theme="1"/>
        <rFont val="Calibri"/>
        <family val="2"/>
        <charset val="204"/>
        <scheme val="minor"/>
      </rPr>
      <t>1</t>
    </r>
    <r>
      <rPr>
        <b/>
        <sz val="11"/>
        <color theme="1"/>
        <rFont val="Calibri"/>
        <family val="2"/>
        <charset val="204"/>
        <scheme val="minor"/>
      </rPr>
      <t xml:space="preserve"> ln(t) + </t>
    </r>
    <r>
      <rPr>
        <b/>
        <sz val="11"/>
        <color theme="1"/>
        <rFont val="Calibri"/>
        <family val="2"/>
        <charset val="204"/>
      </rPr>
      <t>ε</t>
    </r>
  </si>
  <si>
    <t>3. Оценить тесноту связи по исходным уровням рядов (ложная корреляция)</t>
  </si>
  <si>
    <t xml:space="preserve">4. Реальная теснота связи по исходным уровням рядов </t>
  </si>
  <si>
    <r>
      <t>Δ</t>
    </r>
    <r>
      <rPr>
        <vertAlign val="superscript"/>
        <sz val="11"/>
        <color theme="1"/>
        <rFont val="Calibri"/>
        <family val="2"/>
        <charset val="204"/>
      </rPr>
      <t>(1)</t>
    </r>
    <r>
      <rPr>
        <sz val="9.35"/>
        <color theme="1"/>
        <rFont val="Calibri"/>
        <family val="2"/>
        <charset val="204"/>
      </rPr>
      <t>y</t>
    </r>
  </si>
  <si>
    <r>
      <t>Δ</t>
    </r>
    <r>
      <rPr>
        <vertAlign val="superscript"/>
        <sz val="11"/>
        <color theme="1"/>
        <rFont val="Calibri"/>
        <family val="2"/>
        <charset val="204"/>
        <scheme val="minor"/>
      </rPr>
      <t>(2)</t>
    </r>
    <r>
      <rPr>
        <sz val="11"/>
        <color theme="1"/>
        <rFont val="Calibri"/>
        <family val="2"/>
        <charset val="204"/>
        <scheme val="minor"/>
      </rPr>
      <t>y</t>
    </r>
  </si>
  <si>
    <r>
      <t>Δ</t>
    </r>
    <r>
      <rPr>
        <vertAlign val="superscript"/>
        <sz val="11"/>
        <color theme="1"/>
        <rFont val="Calibri"/>
        <family val="2"/>
        <charset val="204"/>
      </rPr>
      <t>(1)</t>
    </r>
    <r>
      <rPr>
        <sz val="9.35"/>
        <color theme="1"/>
        <rFont val="Calibri"/>
        <family val="2"/>
        <charset val="204"/>
      </rPr>
      <t>x</t>
    </r>
  </si>
  <si>
    <r>
      <t>Δ</t>
    </r>
    <r>
      <rPr>
        <vertAlign val="superscript"/>
        <sz val="11"/>
        <color theme="1"/>
        <rFont val="Calibri"/>
        <family val="2"/>
        <charset val="204"/>
        <scheme val="minor"/>
      </rPr>
      <t>(2)</t>
    </r>
    <r>
      <rPr>
        <sz val="11"/>
        <color theme="1"/>
        <rFont val="Calibri"/>
        <family val="2"/>
        <charset val="204"/>
        <scheme val="minor"/>
      </rPr>
      <t>x</t>
    </r>
  </si>
  <si>
    <t>Коэф корреляции абсолютных разностей</t>
  </si>
  <si>
    <t>Реальная связь между временными рядами является умеренной отрицательной</t>
  </si>
  <si>
    <r>
      <t xml:space="preserve">4.1 Метод корреляции абсолютных разностей </t>
    </r>
    <r>
      <rPr>
        <sz val="11"/>
        <color theme="1"/>
        <rFont val="Calibri"/>
        <family val="2"/>
        <charset val="204"/>
        <scheme val="minor"/>
      </rPr>
      <t>(для временного ряда y(t) была выбрана степенная зависимость, а для x(t) - гипербола, но так как параболическая зависимость также характеризуется высоким качеством аппроксимации, то можно проверить и этим способом)</t>
    </r>
  </si>
  <si>
    <r>
      <t xml:space="preserve">4.2 Метод корреляции отклонения от трендов </t>
    </r>
    <r>
      <rPr>
        <sz val="11"/>
        <color theme="1"/>
        <rFont val="Calibri"/>
        <family val="2"/>
        <charset val="204"/>
        <scheme val="minor"/>
      </rPr>
      <t>(так как оба ряда имеют тенденцию, имеем возможность применить данный метод для оценки реальной корреляции между временными рядами)</t>
    </r>
  </si>
  <si>
    <t>Остатки y(t)</t>
  </si>
  <si>
    <t>Остатки x(t)</t>
  </si>
  <si>
    <t>Корреляция</t>
  </si>
  <si>
    <t>Таким образом, в реальности данные временные ряды не зависят друг от друга</t>
  </si>
  <si>
    <r>
      <t xml:space="preserve">4.3 Метод построения регрессии с переменной время </t>
    </r>
    <r>
      <rPr>
        <sz val="11"/>
        <color theme="1"/>
        <rFont val="Calibri"/>
        <family val="2"/>
        <charset val="204"/>
        <scheme val="minor"/>
      </rPr>
      <t>(так как показатель качесвта аппроксимации и линейное уравенение само является значимым, то применим также данный способ )</t>
    </r>
  </si>
  <si>
    <t>Степенная. Остатки y(t)</t>
  </si>
  <si>
    <t>Гипербола. Остатки x(t)</t>
  </si>
  <si>
    <r>
      <t>ε</t>
    </r>
    <r>
      <rPr>
        <b/>
        <vertAlign val="subscript"/>
        <sz val="11"/>
        <color theme="1"/>
        <rFont val="Calibri"/>
        <family val="2"/>
        <charset val="204"/>
      </rPr>
      <t>t</t>
    </r>
  </si>
  <si>
    <r>
      <t>ε</t>
    </r>
    <r>
      <rPr>
        <b/>
        <vertAlign val="subscript"/>
        <sz val="11"/>
        <color theme="1"/>
        <rFont val="Calibri"/>
        <family val="2"/>
        <charset val="204"/>
      </rPr>
      <t>t-1</t>
    </r>
  </si>
  <si>
    <t>Критерий Дарбина-Уотсона</t>
  </si>
  <si>
    <r>
      <t>(ε</t>
    </r>
    <r>
      <rPr>
        <b/>
        <vertAlign val="subscript"/>
        <sz val="11"/>
        <color theme="1"/>
        <rFont val="Calibri"/>
        <family val="2"/>
        <charset val="204"/>
        <scheme val="minor"/>
      </rPr>
      <t>t</t>
    </r>
    <r>
      <rPr>
        <b/>
        <sz val="11"/>
        <color theme="1"/>
        <rFont val="Calibri"/>
        <family val="2"/>
        <charset val="204"/>
        <scheme val="minor"/>
      </rPr>
      <t>-ε</t>
    </r>
    <r>
      <rPr>
        <b/>
        <vertAlign val="subscript"/>
        <sz val="11"/>
        <color theme="1"/>
        <rFont val="Calibri"/>
        <family val="2"/>
        <charset val="204"/>
        <scheme val="minor"/>
      </rPr>
      <t>t-1</t>
    </r>
    <r>
      <rPr>
        <b/>
        <sz val="11"/>
        <color theme="1"/>
        <rFont val="Calibri"/>
        <family val="2"/>
        <charset val="204"/>
        <scheme val="minor"/>
      </rPr>
      <t>)</t>
    </r>
    <r>
      <rPr>
        <b/>
        <vertAlign val="superscript"/>
        <sz val="11"/>
        <color theme="1"/>
        <rFont val="Calibri"/>
        <family val="2"/>
        <charset val="204"/>
        <scheme val="minor"/>
      </rPr>
      <t>2</t>
    </r>
  </si>
  <si>
    <t>Cумма</t>
  </si>
  <si>
    <t>dw</t>
  </si>
  <si>
    <r>
      <t>dw</t>
    </r>
    <r>
      <rPr>
        <vertAlign val="subscript"/>
        <sz val="11"/>
        <color theme="1"/>
        <rFont val="Calibri"/>
        <family val="2"/>
        <charset val="204"/>
        <scheme val="minor"/>
      </rPr>
      <t>lower</t>
    </r>
  </si>
  <si>
    <r>
      <t>dw</t>
    </r>
    <r>
      <rPr>
        <vertAlign val="subscript"/>
        <sz val="11"/>
        <color theme="1"/>
        <rFont val="Calibri"/>
        <family val="2"/>
        <charset val="204"/>
        <scheme val="minor"/>
      </rPr>
      <t>upper</t>
    </r>
  </si>
  <si>
    <r>
      <t>4 - dw</t>
    </r>
    <r>
      <rPr>
        <vertAlign val="subscript"/>
        <sz val="11"/>
        <color theme="1"/>
        <rFont val="Calibri"/>
        <family val="2"/>
        <charset val="204"/>
        <scheme val="minor"/>
      </rPr>
      <t>lower</t>
    </r>
  </si>
  <si>
    <r>
      <t>4 - dw</t>
    </r>
    <r>
      <rPr>
        <vertAlign val="subscript"/>
        <sz val="11"/>
        <color theme="1"/>
        <rFont val="Calibri"/>
        <family val="2"/>
        <charset val="204"/>
        <scheme val="minor"/>
      </rPr>
      <t>upper</t>
    </r>
  </si>
  <si>
    <r>
      <t>В обоих рядах отсутствует автокорреляция случайных остатков, так как обе статистики попадают в зону между dw</t>
    </r>
    <r>
      <rPr>
        <vertAlign val="subscript"/>
        <sz val="11"/>
        <color theme="1"/>
        <rFont val="Calibri"/>
        <family val="2"/>
        <charset val="204"/>
        <scheme val="minor"/>
      </rPr>
      <t>upper</t>
    </r>
    <r>
      <rPr>
        <sz val="11"/>
        <color theme="1"/>
        <rFont val="Calibri"/>
        <family val="2"/>
        <charset val="204"/>
        <scheme val="minor"/>
      </rPr>
      <t xml:space="preserve"> и 4 - dw</t>
    </r>
    <r>
      <rPr>
        <vertAlign val="subscript"/>
        <sz val="11"/>
        <color theme="1"/>
        <rFont val="Calibri"/>
        <family val="2"/>
        <charset val="204"/>
        <scheme val="minor"/>
      </rPr>
      <t>upper</t>
    </r>
  </si>
  <si>
    <t>Коэф автокорреляции случайных остатков</t>
  </si>
  <si>
    <t>Коэф корреляции показывает, что связь в ряду y(t) отсутствует, а в x(t) - слабая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</si>
</sst>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%"/>
  </numFmts>
  <fonts count="2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0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0.1"/>
      <color theme="1"/>
      <name val="Calibri"/>
      <family val="2"/>
      <charset val="204"/>
    </font>
    <font>
      <sz val="11.35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.55"/>
      <color theme="1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  <font>
      <sz val="10.55"/>
      <color theme="1"/>
      <name val="Calibri"/>
      <family val="2"/>
      <charset val="204"/>
    </font>
    <font>
      <sz val="8"/>
      <name val="Calibri"/>
      <family val="2"/>
      <charset val="204"/>
      <scheme val="minor"/>
    </font>
    <font>
      <sz val="9"/>
      <color rgb="FF343A40"/>
      <name val="Arial"/>
      <family val="2"/>
      <charset val="204"/>
    </font>
    <font>
      <b/>
      <vertAlign val="subscript"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vertAlign val="superscript"/>
      <sz val="11"/>
      <color theme="1"/>
      <name val="Calibri"/>
      <family val="2"/>
      <charset val="204"/>
      <scheme val="minor"/>
    </font>
    <font>
      <sz val="9.35"/>
      <color theme="1"/>
      <name val="Calibri"/>
      <family val="2"/>
      <charset val="204"/>
    </font>
    <font>
      <vertAlign val="superscript"/>
      <sz val="11"/>
      <color theme="1"/>
      <name val="Calibri"/>
      <family val="2"/>
      <charset val="204"/>
    </font>
    <font>
      <b/>
      <vertAlign val="subscript"/>
      <sz val="11"/>
      <color theme="1"/>
      <name val="Calibri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06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Alignment="1"/>
    <xf numFmtId="0" fontId="0" fillId="0" borderId="1" xfId="0" applyFont="1" applyBorder="1"/>
    <xf numFmtId="0" fontId="0" fillId="2" borderId="1" xfId="0" applyFont="1" applyFill="1" applyBorder="1"/>
    <xf numFmtId="0" fontId="0" fillId="3" borderId="1" xfId="0" applyFont="1" applyFill="1" applyBorder="1"/>
    <xf numFmtId="0" fontId="0" fillId="0" borderId="0" xfId="0" applyFont="1" applyBorder="1"/>
    <xf numFmtId="0" fontId="0" fillId="0" borderId="0" xfId="0" applyFont="1" applyFill="1" applyBorder="1"/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Continuous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164" fontId="0" fillId="0" borderId="0" xfId="1" applyNumberFormat="1" applyFont="1" applyAlignment="1">
      <alignment vertical="top"/>
    </xf>
    <xf numFmtId="0" fontId="0" fillId="0" borderId="1" xfId="0" applyBorder="1"/>
    <xf numFmtId="0" fontId="0" fillId="0" borderId="4" xfId="0" applyFont="1" applyBorder="1"/>
    <xf numFmtId="0" fontId="0" fillId="2" borderId="4" xfId="0" applyFont="1" applyFill="1" applyBorder="1"/>
    <xf numFmtId="0" fontId="0" fillId="3" borderId="4" xfId="0" applyFont="1" applyFill="1" applyBorder="1"/>
    <xf numFmtId="0" fontId="0" fillId="0" borderId="4" xfId="0" applyBorder="1"/>
    <xf numFmtId="0" fontId="0" fillId="0" borderId="5" xfId="0" applyFont="1" applyBorder="1"/>
    <xf numFmtId="0" fontId="0" fillId="2" borderId="5" xfId="0" applyFont="1" applyFill="1" applyBorder="1"/>
    <xf numFmtId="0" fontId="0" fillId="3" borderId="5" xfId="0" applyFont="1" applyFill="1" applyBorder="1"/>
    <xf numFmtId="0" fontId="0" fillId="0" borderId="5" xfId="0" applyBorder="1"/>
    <xf numFmtId="0" fontId="0" fillId="0" borderId="4" xfId="0" applyFont="1" applyBorder="1" applyAlignment="1">
      <alignment vertical="distributed"/>
    </xf>
    <xf numFmtId="0" fontId="0" fillId="2" borderId="4" xfId="0" applyFont="1" applyFill="1" applyBorder="1" applyAlignment="1">
      <alignment vertical="distributed"/>
    </xf>
    <xf numFmtId="0" fontId="0" fillId="3" borderId="4" xfId="0" applyFont="1" applyFill="1" applyBorder="1" applyAlignment="1">
      <alignment vertical="distributed"/>
    </xf>
    <xf numFmtId="0" fontId="0" fillId="4" borderId="0" xfId="0" applyFill="1"/>
    <xf numFmtId="0" fontId="3" fillId="4" borderId="0" xfId="0" applyFont="1" applyFill="1" applyBorder="1" applyAlignment="1">
      <alignment horizontal="center"/>
    </xf>
    <xf numFmtId="0" fontId="0" fillId="5" borderId="1" xfId="0" applyFill="1" applyBorder="1"/>
    <xf numFmtId="0" fontId="0" fillId="4" borderId="1" xfId="0" applyFill="1" applyBorder="1"/>
    <xf numFmtId="0" fontId="0" fillId="0" borderId="4" xfId="0" applyFill="1" applyBorder="1"/>
    <xf numFmtId="0" fontId="0" fillId="2" borderId="1" xfId="0" applyFill="1" applyBorder="1"/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6" borderId="5" xfId="0" applyFont="1" applyFill="1" applyBorder="1" applyAlignment="1">
      <alignment vertical="top" wrapText="1"/>
    </xf>
    <xf numFmtId="0" fontId="9" fillId="0" borderId="0" xfId="0" applyFont="1"/>
    <xf numFmtId="0" fontId="0" fillId="6" borderId="1" xfId="0" applyFill="1" applyBorder="1"/>
    <xf numFmtId="0" fontId="0" fillId="0" borderId="5" xfId="0" applyBorder="1" applyAlignment="1">
      <alignment vertical="top"/>
    </xf>
    <xf numFmtId="0" fontId="0" fillId="6" borderId="5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6" borderId="1" xfId="0" applyFont="1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9" fillId="0" borderId="1" xfId="0" applyFont="1" applyBorder="1" applyAlignment="1">
      <alignment vertical="top"/>
    </xf>
    <xf numFmtId="0" fontId="9" fillId="0" borderId="1" xfId="0" applyFont="1" applyFill="1" applyBorder="1" applyAlignment="1">
      <alignment vertical="top"/>
    </xf>
    <xf numFmtId="0" fontId="3" fillId="0" borderId="3" xfId="0" applyFont="1" applyFill="1" applyBorder="1" applyAlignment="1">
      <alignment horizontal="centerContinuous" vertical="top"/>
    </xf>
    <xf numFmtId="0" fontId="0" fillId="0" borderId="0" xfId="0" applyFill="1" applyBorder="1" applyAlignment="1">
      <alignment vertical="top"/>
    </xf>
    <xf numFmtId="0" fontId="0" fillId="0" borderId="2" xfId="0" applyFill="1" applyBorder="1" applyAlignment="1">
      <alignment vertical="top"/>
    </xf>
    <xf numFmtId="0" fontId="3" fillId="0" borderId="3" xfId="0" applyFont="1" applyFill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Fill="1" applyBorder="1" applyAlignment="1">
      <alignment vertical="center"/>
    </xf>
    <xf numFmtId="0" fontId="3" fillId="0" borderId="3" xfId="0" applyFont="1" applyFill="1" applyBorder="1" applyAlignment="1">
      <alignment horizontal="left" vertical="top"/>
    </xf>
    <xf numFmtId="0" fontId="3" fillId="0" borderId="3" xfId="0" applyFont="1" applyFill="1" applyBorder="1" applyAlignment="1">
      <alignment horizontal="center" vertical="top" wrapText="1"/>
    </xf>
    <xf numFmtId="10" fontId="0" fillId="0" borderId="1" xfId="1" applyNumberFormat="1" applyFont="1" applyBorder="1" applyAlignment="1">
      <alignment vertical="top"/>
    </xf>
    <xf numFmtId="165" fontId="0" fillId="0" borderId="1" xfId="1" applyNumberFormat="1" applyFont="1" applyBorder="1" applyAlignment="1">
      <alignment vertical="top"/>
    </xf>
    <xf numFmtId="10" fontId="9" fillId="0" borderId="1" xfId="1" applyNumberFormat="1" applyFont="1" applyBorder="1" applyAlignment="1">
      <alignment vertical="top"/>
    </xf>
    <xf numFmtId="165" fontId="9" fillId="0" borderId="1" xfId="1" applyNumberFormat="1" applyFont="1" applyBorder="1" applyAlignment="1">
      <alignment vertical="top"/>
    </xf>
    <xf numFmtId="0" fontId="3" fillId="0" borderId="3" xfId="0" applyFont="1" applyFill="1" applyBorder="1" applyAlignment="1">
      <alignment horizontal="center" vertical="center" wrapText="1"/>
    </xf>
    <xf numFmtId="0" fontId="0" fillId="0" borderId="1" xfId="1" applyNumberFormat="1" applyFont="1" applyBorder="1" applyAlignment="1">
      <alignment vertical="top"/>
    </xf>
    <xf numFmtId="0" fontId="9" fillId="0" borderId="1" xfId="1" applyNumberFormat="1" applyFont="1" applyBorder="1" applyAlignment="1">
      <alignment vertical="top"/>
    </xf>
    <xf numFmtId="2" fontId="0" fillId="2" borderId="1" xfId="0" applyNumberFormat="1" applyFill="1" applyBorder="1" applyAlignment="1">
      <alignment vertical="top"/>
    </xf>
    <xf numFmtId="2" fontId="9" fillId="0" borderId="1" xfId="0" applyNumberFormat="1" applyFont="1" applyBorder="1" applyAlignment="1">
      <alignment vertical="top"/>
    </xf>
    <xf numFmtId="2" fontId="0" fillId="0" borderId="1" xfId="0" applyNumberFormat="1" applyBorder="1" applyAlignment="1">
      <alignment vertical="top"/>
    </xf>
    <xf numFmtId="2" fontId="0" fillId="0" borderId="1" xfId="1" applyNumberFormat="1" applyFont="1" applyBorder="1" applyAlignment="1">
      <alignment vertical="top"/>
    </xf>
    <xf numFmtId="2" fontId="9" fillId="0" borderId="1" xfId="1" applyNumberFormat="1" applyFont="1" applyBorder="1" applyAlignment="1">
      <alignment vertical="top"/>
    </xf>
    <xf numFmtId="165" fontId="9" fillId="7" borderId="1" xfId="1" applyNumberFormat="1" applyFont="1" applyFill="1" applyBorder="1" applyAlignment="1">
      <alignment vertical="top"/>
    </xf>
    <xf numFmtId="165" fontId="9" fillId="8" borderId="1" xfId="1" applyNumberFormat="1" applyFont="1" applyFill="1" applyBorder="1" applyAlignment="1">
      <alignment vertical="top"/>
    </xf>
    <xf numFmtId="10" fontId="9" fillId="8" borderId="1" xfId="1" applyNumberFormat="1" applyFont="1" applyFill="1" applyBorder="1" applyAlignment="1">
      <alignment vertical="top"/>
    </xf>
    <xf numFmtId="0" fontId="0" fillId="8" borderId="0" xfId="0" applyFill="1" applyBorder="1" applyAlignment="1">
      <alignment vertical="top"/>
    </xf>
    <xf numFmtId="0" fontId="0" fillId="8" borderId="0" xfId="0" applyFill="1" applyBorder="1" applyAlignment="1"/>
    <xf numFmtId="0" fontId="9" fillId="7" borderId="0" xfId="0" applyFont="1" applyFill="1" applyBorder="1" applyAlignment="1"/>
    <xf numFmtId="0" fontId="0" fillId="9" borderId="1" xfId="0" applyFill="1" applyBorder="1" applyAlignment="1">
      <alignment vertical="top"/>
    </xf>
    <xf numFmtId="0" fontId="0" fillId="9" borderId="1" xfId="0" applyFont="1" applyFill="1" applyBorder="1" applyAlignment="1">
      <alignment vertical="top"/>
    </xf>
    <xf numFmtId="0" fontId="0" fillId="10" borderId="1" xfId="0" applyFill="1" applyBorder="1" applyAlignment="1">
      <alignment vertical="top"/>
    </xf>
    <xf numFmtId="0" fontId="0" fillId="10" borderId="1" xfId="0" applyFont="1" applyFill="1" applyBorder="1" applyAlignment="1">
      <alignment vertical="top"/>
    </xf>
    <xf numFmtId="0" fontId="0" fillId="2" borderId="1" xfId="0" applyFont="1" applyFill="1" applyBorder="1" applyAlignment="1">
      <alignment vertical="top"/>
    </xf>
    <xf numFmtId="0" fontId="0" fillId="9" borderId="1" xfId="0" applyFill="1" applyBorder="1"/>
    <xf numFmtId="0" fontId="0" fillId="10" borderId="1" xfId="0" applyFill="1" applyBorder="1"/>
    <xf numFmtId="0" fontId="0" fillId="0" borderId="1" xfId="0" applyFill="1" applyBorder="1" applyAlignment="1">
      <alignment vertical="top"/>
    </xf>
    <xf numFmtId="0" fontId="0" fillId="0" borderId="1" xfId="0" applyFont="1" applyFill="1" applyBorder="1" applyAlignment="1">
      <alignment vertical="top"/>
    </xf>
    <xf numFmtId="0" fontId="0" fillId="0" borderId="1" xfId="0" applyFill="1" applyBorder="1"/>
    <xf numFmtId="0" fontId="0" fillId="0" borderId="0" xfId="0" applyBorder="1"/>
    <xf numFmtId="0" fontId="1" fillId="3" borderId="5" xfId="0" applyFont="1" applyFill="1" applyBorder="1" applyAlignment="1">
      <alignment vertical="top" wrapText="1"/>
    </xf>
    <xf numFmtId="0" fontId="0" fillId="0" borderId="1" xfId="0" applyFill="1" applyBorder="1" applyAlignment="1"/>
    <xf numFmtId="0" fontId="0" fillId="0" borderId="1" xfId="0" applyBorder="1" applyAlignment="1">
      <alignment vertical="top" wrapText="1"/>
    </xf>
    <xf numFmtId="0" fontId="0" fillId="0" borderId="5" xfId="0" applyFill="1" applyBorder="1" applyAlignment="1">
      <alignment vertical="top" wrapText="1"/>
    </xf>
    <xf numFmtId="0" fontId="0" fillId="0" borderId="5" xfId="0" applyFont="1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2" borderId="5" xfId="0" applyFill="1" applyBorder="1" applyAlignment="1">
      <alignment vertical="top"/>
    </xf>
    <xf numFmtId="0" fontId="0" fillId="0" borderId="0" xfId="0" applyBorder="1" applyAlignment="1">
      <alignment vertical="center"/>
    </xf>
    <xf numFmtId="0" fontId="13" fillId="0" borderId="0" xfId="0" applyFont="1"/>
    <xf numFmtId="0" fontId="0" fillId="0" borderId="0" xfId="0" applyFill="1" applyBorder="1"/>
    <xf numFmtId="0" fontId="0" fillId="0" borderId="0" xfId="0" applyAlignment="1">
      <alignment horizontal="center" vertical="center"/>
    </xf>
    <xf numFmtId="0" fontId="0" fillId="7" borderId="0" xfId="0" applyFill="1"/>
    <xf numFmtId="0" fontId="0" fillId="3" borderId="0" xfId="0" applyFill="1"/>
    <xf numFmtId="0" fontId="0" fillId="2" borderId="0" xfId="0" applyFill="1"/>
    <xf numFmtId="0" fontId="0" fillId="4" borderId="0" xfId="0" applyFont="1" applyFill="1" applyAlignment="1">
      <alignment horizontal="center" vertical="center"/>
    </xf>
    <xf numFmtId="0" fontId="0" fillId="4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4" borderId="9" xfId="0" applyFont="1" applyFill="1" applyBorder="1" applyAlignment="1">
      <alignment horizontal="center" vertical="center"/>
    </xf>
    <xf numFmtId="0" fontId="16" fillId="0" borderId="0" xfId="0" applyFont="1"/>
    <xf numFmtId="0" fontId="9" fillId="4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 applyBorder="1" applyAlignment="1"/>
    <xf numFmtId="0" fontId="0" fillId="9" borderId="0" xfId="0" applyFill="1" applyBorder="1" applyAlignment="1"/>
    <xf numFmtId="0" fontId="0" fillId="9" borderId="2" xfId="0" applyFill="1" applyBorder="1" applyAlignment="1"/>
    <xf numFmtId="0" fontId="0" fillId="6" borderId="2" xfId="0" applyFill="1" applyBorder="1" applyAlignment="1"/>
    <xf numFmtId="0" fontId="18" fillId="6" borderId="0" xfId="0" applyFont="1" applyFill="1" applyBorder="1" applyAlignment="1"/>
    <xf numFmtId="0" fontId="18" fillId="9" borderId="0" xfId="0" applyFont="1" applyFill="1" applyBorder="1" applyAlignment="1"/>
    <xf numFmtId="0" fontId="18" fillId="9" borderId="2" xfId="0" applyFont="1" applyFill="1" applyBorder="1" applyAlignment="1"/>
    <xf numFmtId="0" fontId="3" fillId="0" borderId="0" xfId="0" applyFont="1" applyFill="1" applyBorder="1" applyAlignment="1">
      <alignment horizontal="centerContinuous"/>
    </xf>
    <xf numFmtId="0" fontId="3" fillId="0" borderId="0" xfId="0" applyFont="1" applyFill="1" applyBorder="1" applyAlignment="1">
      <alignment horizontal="center"/>
    </xf>
    <xf numFmtId="0" fontId="0" fillId="6" borderId="0" xfId="0" applyFill="1"/>
    <xf numFmtId="0" fontId="0" fillId="12" borderId="0" xfId="0" applyFill="1"/>
    <xf numFmtId="0" fontId="9" fillId="4" borderId="0" xfId="0" applyFont="1" applyFill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19" fillId="0" borderId="0" xfId="0" applyFont="1"/>
    <xf numFmtId="0" fontId="0" fillId="0" borderId="11" xfId="0" applyFont="1" applyBorder="1"/>
    <xf numFmtId="0" fontId="0" fillId="12" borderId="9" xfId="0" applyFont="1" applyFill="1" applyBorder="1"/>
    <xf numFmtId="0" fontId="0" fillId="3" borderId="12" xfId="0" applyFont="1" applyFill="1" applyBorder="1"/>
    <xf numFmtId="0" fontId="0" fillId="3" borderId="9" xfId="0" applyFont="1" applyFill="1" applyBorder="1"/>
    <xf numFmtId="0" fontId="0" fillId="3" borderId="13" xfId="0" applyFont="1" applyFill="1" applyBorder="1"/>
    <xf numFmtId="0" fontId="0" fillId="3" borderId="0" xfId="0" applyFont="1" applyFill="1" applyBorder="1"/>
    <xf numFmtId="0" fontId="0" fillId="13" borderId="0" xfId="0" applyFill="1" applyBorder="1"/>
    <xf numFmtId="0" fontId="0" fillId="13" borderId="12" xfId="0" applyFill="1" applyBorder="1"/>
    <xf numFmtId="0" fontId="0" fillId="13" borderId="9" xfId="0" applyFill="1" applyBorder="1"/>
    <xf numFmtId="0" fontId="0" fillId="13" borderId="13" xfId="0" applyFill="1" applyBorder="1"/>
    <xf numFmtId="0" fontId="0" fillId="12" borderId="7" xfId="0" applyFont="1" applyFill="1" applyBorder="1" applyAlignment="1">
      <alignment horizontal="center" vertical="center"/>
    </xf>
    <xf numFmtId="0" fontId="0" fillId="12" borderId="6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13" borderId="6" xfId="0" applyFont="1" applyFill="1" applyBorder="1" applyAlignment="1">
      <alignment horizontal="center" vertical="center"/>
    </xf>
    <xf numFmtId="0" fontId="0" fillId="13" borderId="8" xfId="0" applyFont="1" applyFill="1" applyBorder="1" applyAlignment="1">
      <alignment horizontal="center" vertical="center"/>
    </xf>
    <xf numFmtId="0" fontId="0" fillId="12" borderId="8" xfId="0" applyFont="1" applyFill="1" applyBorder="1" applyAlignment="1">
      <alignment horizontal="center" vertical="center"/>
    </xf>
    <xf numFmtId="0" fontId="0" fillId="12" borderId="14" xfId="0" applyFont="1" applyFill="1" applyBorder="1"/>
    <xf numFmtId="0" fontId="0" fillId="12" borderId="0" xfId="0" applyFont="1" applyFill="1" applyBorder="1"/>
    <xf numFmtId="0" fontId="0" fillId="12" borderId="12" xfId="0" applyFont="1" applyFill="1" applyBorder="1"/>
    <xf numFmtId="0" fontId="0" fillId="12" borderId="15" xfId="0" applyFont="1" applyFill="1" applyBorder="1"/>
    <xf numFmtId="0" fontId="0" fillId="12" borderId="13" xfId="0" applyFont="1" applyFill="1" applyBorder="1"/>
    <xf numFmtId="0" fontId="0" fillId="3" borderId="7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14" xfId="0" applyFont="1" applyFill="1" applyBorder="1"/>
    <xf numFmtId="0" fontId="0" fillId="3" borderId="15" xfId="0" applyFont="1" applyFill="1" applyBorder="1"/>
    <xf numFmtId="0" fontId="0" fillId="0" borderId="0" xfId="0" applyAlignment="1">
      <alignment horizontal="center"/>
    </xf>
    <xf numFmtId="0" fontId="22" fillId="0" borderId="1" xfId="0" applyFont="1" applyBorder="1"/>
    <xf numFmtId="2" fontId="22" fillId="0" borderId="1" xfId="0" applyNumberFormat="1" applyFont="1" applyBorder="1" applyAlignment="1" applyProtection="1">
      <alignment horizontal="right"/>
      <protection locked="0"/>
    </xf>
    <xf numFmtId="0" fontId="21" fillId="4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0" fillId="14" borderId="2" xfId="0" applyFill="1" applyBorder="1" applyAlignment="1"/>
    <xf numFmtId="0" fontId="9" fillId="0" borderId="0" xfId="0" applyFont="1" applyAlignment="1">
      <alignment vertical="center"/>
    </xf>
    <xf numFmtId="0" fontId="0" fillId="14" borderId="0" xfId="0" applyFill="1" applyBorder="1" applyAlignment="1"/>
    <xf numFmtId="0" fontId="0" fillId="14" borderId="0" xfId="0" applyFill="1"/>
    <xf numFmtId="0" fontId="0" fillId="0" borderId="0" xfId="0" applyFill="1"/>
    <xf numFmtId="0" fontId="3" fillId="0" borderId="0" xfId="0" applyFont="1"/>
    <xf numFmtId="0" fontId="20" fillId="4" borderId="2" xfId="0" applyFont="1" applyFill="1" applyBorder="1" applyAlignment="1">
      <alignment horizontal="center" vertical="center"/>
    </xf>
    <xf numFmtId="0" fontId="9" fillId="4" borderId="2" xfId="0" applyFont="1" applyFill="1" applyBorder="1"/>
    <xf numFmtId="0" fontId="9" fillId="4" borderId="16" xfId="0" applyFont="1" applyFill="1" applyBorder="1"/>
    <xf numFmtId="0" fontId="0" fillId="0" borderId="12" xfId="0" applyBorder="1"/>
    <xf numFmtId="0" fontId="9" fillId="4" borderId="0" xfId="0" applyFont="1" applyFill="1" applyBorder="1" applyAlignment="1"/>
    <xf numFmtId="0" fontId="9" fillId="0" borderId="2" xfId="0" applyFont="1" applyBorder="1"/>
    <xf numFmtId="0" fontId="9" fillId="0" borderId="16" xfId="0" applyFont="1" applyBorder="1"/>
    <xf numFmtId="0" fontId="9" fillId="0" borderId="2" xfId="0" applyFont="1" applyBorder="1" applyAlignment="1">
      <alignment horizontal="right"/>
    </xf>
    <xf numFmtId="0" fontId="9" fillId="0" borderId="0" xfId="0" applyFont="1" applyFill="1" applyBorder="1" applyAlignment="1"/>
    <xf numFmtId="0" fontId="0" fillId="6" borderId="9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top"/>
    </xf>
    <xf numFmtId="0" fontId="3" fillId="4" borderId="9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9" fillId="4" borderId="6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/>
    </xf>
    <xf numFmtId="0" fontId="9" fillId="4" borderId="0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left" vertical="top" wrapText="1"/>
    </xf>
    <xf numFmtId="0" fontId="9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'З-14. Коррелция рядов динамики'!$C$2</c:f>
              <c:strCache>
                <c:ptCount val="1"/>
                <c:pt idx="0">
                  <c:v>Стоимость основных фондов млн. руб. (y)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'З-14. Коррелция рядов динамики'!$C$3:$C$11</c:f>
              <c:numCache>
                <c:formatCode>General</c:formatCode>
                <c:ptCount val="9"/>
                <c:pt idx="0">
                  <c:v>72</c:v>
                </c:pt>
                <c:pt idx="1">
                  <c:v>75</c:v>
                </c:pt>
                <c:pt idx="2">
                  <c:v>77</c:v>
                </c:pt>
                <c:pt idx="3">
                  <c:v>77</c:v>
                </c:pt>
                <c:pt idx="4">
                  <c:v>79</c:v>
                </c:pt>
                <c:pt idx="5">
                  <c:v>80</c:v>
                </c:pt>
                <c:pt idx="6">
                  <c:v>78</c:v>
                </c:pt>
                <c:pt idx="7">
                  <c:v>79</c:v>
                </c:pt>
                <c:pt idx="8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37-4347-B3B0-6188E50A1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4266848"/>
        <c:axId val="1984253952"/>
      </c:lineChart>
      <c:catAx>
        <c:axId val="1984266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4253952"/>
        <c:crosses val="autoZero"/>
        <c:auto val="1"/>
        <c:lblAlgn val="ctr"/>
        <c:lblOffset val="100"/>
        <c:noMultiLvlLbl val="0"/>
      </c:catAx>
      <c:valAx>
        <c:axId val="198425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426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'З-14. Коррелция рядов динамики'!$D$2</c:f>
              <c:strCache>
                <c:ptCount val="1"/>
                <c:pt idx="0">
                  <c:v>Дивиденды по обыкновенным акциям % (x)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'З-14. Коррелция рядов динамики'!$D$3:$D$11</c:f>
              <c:numCache>
                <c:formatCode>0.00</c:formatCode>
                <c:ptCount val="9"/>
                <c:pt idx="0">
                  <c:v>4.2</c:v>
                </c:pt>
                <c:pt idx="1">
                  <c:v>3</c:v>
                </c:pt>
                <c:pt idx="2">
                  <c:v>2.4</c:v>
                </c:pt>
                <c:pt idx="3">
                  <c:v>2</c:v>
                </c:pt>
                <c:pt idx="4">
                  <c:v>1.9</c:v>
                </c:pt>
                <c:pt idx="5">
                  <c:v>1.7</c:v>
                </c:pt>
                <c:pt idx="6">
                  <c:v>1.8</c:v>
                </c:pt>
                <c:pt idx="7">
                  <c:v>1.6</c:v>
                </c:pt>
                <c:pt idx="8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5F-47B1-9148-4AB4DD9D5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4291808"/>
        <c:axId val="1984280992"/>
      </c:lineChart>
      <c:catAx>
        <c:axId val="1984291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4280992"/>
        <c:crosses val="autoZero"/>
        <c:auto val="1"/>
        <c:lblAlgn val="ctr"/>
        <c:lblOffset val="100"/>
        <c:noMultiLvlLbl val="0"/>
      </c:catAx>
      <c:valAx>
        <c:axId val="198428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429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57586</xdr:colOff>
      <xdr:row>18</xdr:row>
      <xdr:rowOff>95395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183952-E6E7-44F7-B39B-AF2D813E5742}"/>
            </a:ext>
          </a:extLst>
        </xdr:cNvPr>
        <xdr:cNvSpPr txBox="1"/>
      </xdr:nvSpPr>
      <xdr:spPr>
        <a:xfrm>
          <a:off x="4926242" y="37483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57586</xdr:colOff>
      <xdr:row>18</xdr:row>
      <xdr:rowOff>95395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657D1E0-8141-4D49-B427-F3E1215985C2}"/>
            </a:ext>
          </a:extLst>
        </xdr:cNvPr>
        <xdr:cNvSpPr txBox="1"/>
      </xdr:nvSpPr>
      <xdr:spPr>
        <a:xfrm>
          <a:off x="4926242" y="37483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7620</xdr:colOff>
      <xdr:row>0</xdr:row>
      <xdr:rowOff>0</xdr:rowOff>
    </xdr:from>
    <xdr:to>
      <xdr:col>30</xdr:col>
      <xdr:colOff>342900</xdr:colOff>
      <xdr:row>7</xdr:row>
      <xdr:rowOff>146909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9993884-7C0C-4358-B9D6-6089E900E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4420" y="0"/>
          <a:ext cx="13746480" cy="16467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9951</xdr:colOff>
      <xdr:row>0</xdr:row>
      <xdr:rowOff>0</xdr:rowOff>
    </xdr:from>
    <xdr:to>
      <xdr:col>25</xdr:col>
      <xdr:colOff>328622</xdr:colOff>
      <xdr:row>17</xdr:row>
      <xdr:rowOff>171066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3D6E27A-6004-4ABE-B1B5-184AC4B72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7889" y="0"/>
          <a:ext cx="5833352" cy="3258344"/>
        </a:xfrm>
        <a:prstGeom prst="rect">
          <a:avLst/>
        </a:prstGeom>
      </xdr:spPr>
    </xdr:pic>
    <xdr:clientData/>
  </xdr:twoCellAnchor>
  <xdr:twoCellAnchor>
    <xdr:from>
      <xdr:col>6</xdr:col>
      <xdr:colOff>612742</xdr:colOff>
      <xdr:row>17</xdr:row>
      <xdr:rowOff>180680</xdr:rowOff>
    </xdr:from>
    <xdr:to>
      <xdr:col>15</xdr:col>
      <xdr:colOff>526329</xdr:colOff>
      <xdr:row>26</xdr:row>
      <xdr:rowOff>70701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3EB3533-EBDE-4F30-B4C0-D5AA3A04018F}"/>
            </a:ext>
          </a:extLst>
        </xdr:cNvPr>
        <xdr:cNvSpPr txBox="1"/>
      </xdr:nvSpPr>
      <xdr:spPr>
        <a:xfrm>
          <a:off x="5483257" y="3267958"/>
          <a:ext cx="5428268" cy="15318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/>
            <a:t>Выводы</a:t>
          </a:r>
          <a:r>
            <a:rPr lang="ru-RU" sz="1100" b="1" baseline="0"/>
            <a:t> по пункту 1:</a:t>
          </a:r>
          <a:endParaRPr lang="en-US" sz="1100" b="1"/>
        </a:p>
        <a:p>
          <a:r>
            <a:rPr lang="en-US" sz="1100"/>
            <a:t>-</a:t>
          </a:r>
          <a:r>
            <a:rPr lang="en-US" sz="1100" baseline="0"/>
            <a:t> </a:t>
          </a:r>
          <a:r>
            <a:rPr lang="ru-RU" sz="1100" baseline="0"/>
            <a:t>О</a:t>
          </a:r>
          <a:r>
            <a:rPr lang="ru-RU" sz="1100"/>
            <a:t>тдельно при линейной зависимости фактор </a:t>
          </a:r>
          <a:r>
            <a:rPr lang="en-US" sz="1100"/>
            <a:t>x2 </a:t>
          </a:r>
          <a:r>
            <a:rPr lang="ru-RU" sz="1100"/>
            <a:t>хуже объясняет вариацию </a:t>
          </a:r>
          <a:r>
            <a:rPr lang="en-US" sz="1100"/>
            <a:t>y </a:t>
          </a:r>
          <a:r>
            <a:rPr lang="ru-RU" sz="1100"/>
            <a:t>по сравнению с фактором </a:t>
          </a:r>
          <a:r>
            <a:rPr lang="en-US" sz="1100"/>
            <a:t>x1</a:t>
          </a:r>
          <a:endParaRPr lang="ru-RU" sz="1100"/>
        </a:p>
        <a:p>
          <a:r>
            <a:rPr lang="ru-RU" sz="1100"/>
            <a:t>- При</a:t>
          </a:r>
          <a:r>
            <a:rPr lang="ru-RU" sz="1100" baseline="0"/>
            <a:t> нелинейной связи типа парабола для множественной регрессии обеспечивается лучшая зависимость между </a:t>
          </a:r>
          <a:r>
            <a:rPr lang="en-US" sz="1100" baseline="0"/>
            <a:t>y </a:t>
          </a:r>
          <a:r>
            <a:rPr lang="ru-RU" sz="1100" baseline="0"/>
            <a:t>и факторами по сравнению с линейной зависимостью</a:t>
          </a:r>
        </a:p>
        <a:p>
          <a:r>
            <a:rPr lang="ru-RU" sz="1100" baseline="0"/>
            <a:t>- Фактор </a:t>
          </a:r>
          <a:r>
            <a:rPr lang="en-US" sz="1100" baseline="0"/>
            <a:t>x2 </a:t>
          </a:r>
          <a:r>
            <a:rPr lang="ru-RU" sz="1100" baseline="0"/>
            <a:t>во множественной регрессии вносит больший вклад в сокращение остаточной дисперсии, особенно при параболической связи с </a:t>
          </a:r>
          <a:r>
            <a:rPr lang="en-US" sz="1100" baseline="0"/>
            <a:t>y - </a:t>
          </a:r>
          <a:r>
            <a:rPr lang="ru-RU" sz="1100" baseline="0"/>
            <a:t>его вклад наибольший 68,75%</a:t>
          </a:r>
          <a:endParaRPr lang="ru-R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15386</xdr:colOff>
      <xdr:row>0</xdr:row>
      <xdr:rowOff>0</xdr:rowOff>
    </xdr:from>
    <xdr:to>
      <xdr:col>19</xdr:col>
      <xdr:colOff>416851</xdr:colOff>
      <xdr:row>19</xdr:row>
      <xdr:rowOff>152400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E84663B-90C2-4B1A-973D-A14F3C69A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03966" y="0"/>
          <a:ext cx="5278265" cy="40690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836</xdr:colOff>
      <xdr:row>23</xdr:row>
      <xdr:rowOff>180536</xdr:rowOff>
    </xdr:from>
    <xdr:to>
      <xdr:col>8</xdr:col>
      <xdr:colOff>602901</xdr:colOff>
      <xdr:row>29</xdr:row>
      <xdr:rowOff>6866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60C4572-28BD-4247-A597-732201936A1E}"/>
            </a:ext>
          </a:extLst>
        </xdr:cNvPr>
        <xdr:cNvSpPr txBox="1"/>
      </xdr:nvSpPr>
      <xdr:spPr>
        <a:xfrm>
          <a:off x="5895869" y="4518074"/>
          <a:ext cx="4981472" cy="10991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180000" rIns="180000" rtlCol="0" anchor="ctr"/>
        <a:lstStyle/>
        <a:p>
          <a:pPr algn="l"/>
          <a:r>
            <a:rPr lang="ru-RU" sz="1100"/>
            <a:t>По данным Задача 2.</a:t>
          </a:r>
          <a:r>
            <a:rPr lang="en-US" sz="1100"/>
            <a:t>xlxs </a:t>
          </a:r>
          <a:r>
            <a:rPr lang="ru-RU" sz="1100"/>
            <a:t>рассмотрите разные модели с фиктивными переменными. Выберите наилучшую. Ответ введите в форму "Модели с фиктивными переменными".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9614</xdr:colOff>
      <xdr:row>0</xdr:row>
      <xdr:rowOff>14243</xdr:rowOff>
    </xdr:from>
    <xdr:to>
      <xdr:col>4</xdr:col>
      <xdr:colOff>740635</xdr:colOff>
      <xdr:row>6</xdr:row>
      <xdr:rowOff>174850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144E3E2-AAEB-456C-B016-E0AE6D2FA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14" y="14243"/>
          <a:ext cx="5587881" cy="1421112"/>
        </a:xfrm>
        <a:prstGeom prst="rect">
          <a:avLst/>
        </a:prstGeom>
      </xdr:spPr>
    </xdr:pic>
    <xdr:clientData/>
  </xdr:twoCellAnchor>
  <xdr:twoCellAnchor editAs="oneCell">
    <xdr:from>
      <xdr:col>3</xdr:col>
      <xdr:colOff>51345</xdr:colOff>
      <xdr:row>8</xdr:row>
      <xdr:rowOff>16238</xdr:rowOff>
    </xdr:from>
    <xdr:to>
      <xdr:col>6</xdr:col>
      <xdr:colOff>153040</xdr:colOff>
      <xdr:row>16</xdr:row>
      <xdr:rowOff>95621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25C6A36-B39F-4064-8B24-51DBFA5F7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70261" y="1647060"/>
          <a:ext cx="3092723" cy="2052038"/>
        </a:xfrm>
        <a:prstGeom prst="rect">
          <a:avLst/>
        </a:prstGeom>
      </xdr:spPr>
    </xdr:pic>
    <xdr:clientData/>
  </xdr:twoCellAnchor>
  <xdr:oneCellAnchor>
    <xdr:from>
      <xdr:col>1</xdr:col>
      <xdr:colOff>5734</xdr:colOff>
      <xdr:row>36</xdr:row>
      <xdr:rowOff>77019</xdr:rowOff>
    </xdr:from>
    <xdr:ext cx="2591619" cy="5802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B2D68BC-7A70-4D9F-9434-2689EAAB0653}"/>
                </a:ext>
              </a:extLst>
            </xdr:cNvPr>
            <xdr:cNvSpPr txBox="1"/>
          </xdr:nvSpPr>
          <xdr:spPr>
            <a:xfrm>
              <a:off x="616497" y="5469187"/>
              <a:ext cx="2591619" cy="580279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𝐴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𝐵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11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𝐵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12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𝐼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𝛿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</m:e>
                          <m:e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𝑌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𝐴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𝐵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21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𝐵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22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𝐼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𝛿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B2D68BC-7A70-4D9F-9434-2689EAAB0653}"/>
                </a:ext>
              </a:extLst>
            </xdr:cNvPr>
            <xdr:cNvSpPr txBox="1"/>
          </xdr:nvSpPr>
          <xdr:spPr>
            <a:xfrm>
              <a:off x="616497" y="5469187"/>
              <a:ext cx="2591619" cy="580279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{█(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𝑅_𝑡=𝐴_1+𝐵_11 𝑀_𝑡+𝐵_12 𝐼_𝑡+𝛿_1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𝑌_𝑡=𝐴_2+𝐵_21 𝑀_𝑡+𝐵_22 𝐼_𝑡+𝛿_2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)┤</a:t>
              </a:r>
              <a:endParaRPr lang="ru-RU" sz="1100"/>
            </a:p>
          </xdr:txBody>
        </xdr:sp>
      </mc:Fallback>
    </mc:AlternateContent>
    <xdr:clientData/>
  </xdr:oneCellAnchor>
  <xdr:twoCellAnchor editAs="oneCell">
    <xdr:from>
      <xdr:col>12</xdr:col>
      <xdr:colOff>13505</xdr:colOff>
      <xdr:row>2</xdr:row>
      <xdr:rowOff>147572</xdr:rowOff>
    </xdr:from>
    <xdr:to>
      <xdr:col>17</xdr:col>
      <xdr:colOff>413424</xdr:colOff>
      <xdr:row>15</xdr:row>
      <xdr:rowOff>337096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A379BAED-0EF7-46EE-8968-0EE8397F7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52296" y="519712"/>
          <a:ext cx="3456779" cy="3078035"/>
        </a:xfrm>
        <a:prstGeom prst="rect">
          <a:avLst/>
        </a:prstGeom>
      </xdr:spPr>
    </xdr:pic>
    <xdr:clientData/>
  </xdr:twoCellAnchor>
  <xdr:oneCellAnchor>
    <xdr:from>
      <xdr:col>10</xdr:col>
      <xdr:colOff>5733</xdr:colOff>
      <xdr:row>36</xdr:row>
      <xdr:rowOff>77019</xdr:rowOff>
    </xdr:from>
    <xdr:ext cx="4323379" cy="10802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2B6F6B3-2B89-4537-B0EB-7F7F96AE6757}"/>
                </a:ext>
              </a:extLst>
            </xdr:cNvPr>
            <xdr:cNvSpPr txBox="1"/>
          </xdr:nvSpPr>
          <xdr:spPr>
            <a:xfrm>
              <a:off x="9673608" y="8678094"/>
              <a:ext cx="4323379" cy="1080269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eqArrPr>
                          <m:e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𝑌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𝐴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𝐵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11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𝐵</m:t>
                                </m:r>
                              </m:e>
                              <m:sub>
                                <m:r>
                                  <a:rPr lang="ru-RU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𝐵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13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𝑌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𝐵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14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−1</m:t>
                                </m:r>
                              </m:sub>
                            </m:s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𝐵</m:t>
                                </m:r>
                              </m:e>
                              <m:sub>
                                <m:r>
                                  <a:rPr lang="ru-RU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𝛿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</m:e>
                          <m:e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𝐼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𝐴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𝐵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21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𝐵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22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𝐵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23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𝑌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𝐵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24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−1</m:t>
                                </m:r>
                              </m:sub>
                            </m:s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𝐵</m:t>
                                </m:r>
                              </m:e>
                              <m:sub>
                                <m:r>
                                  <a:rPr lang="ru-RU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𝛿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</m:e>
                          <m:e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𝐴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𝐵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31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𝐵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32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𝐵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33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𝑌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𝑡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−1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𝐵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34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𝑡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−1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𝐵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35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𝑡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−1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𝛿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</m:e>
                          <m:e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𝐴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4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𝐵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41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𝐵</m:t>
                                </m:r>
                              </m:e>
                              <m:sub>
                                <m:r>
                                  <a:rPr lang="ru-RU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42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𝐵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43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𝑌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𝐵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44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𝑡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−1</m:t>
                                </m:r>
                              </m:sub>
                            </m:s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𝐵</m:t>
                                </m:r>
                              </m:e>
                              <m:sub>
                                <m:r>
                                  <a:rPr lang="ru-RU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−1</m:t>
                                </m:r>
                              </m:sub>
                            </m:s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ru-RU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𝛿</m:t>
                                </m:r>
                              </m:e>
                              <m:sub>
                                <m:r>
                                  <a:rPr lang="ru-RU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4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2B6F6B3-2B89-4537-B0EB-7F7F96AE6757}"/>
                </a:ext>
              </a:extLst>
            </xdr:cNvPr>
            <xdr:cNvSpPr txBox="1"/>
          </xdr:nvSpPr>
          <xdr:spPr>
            <a:xfrm>
              <a:off x="9673608" y="8678094"/>
              <a:ext cx="4323379" cy="1080269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{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█(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𝑌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_𝑡=𝐴_1+𝐵_11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𝑅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_𝑡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𝐵_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 𝑃_𝑡+𝐵_1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 𝑌_(𝑡−1)+𝐵_14 𝑄_(𝑡−1)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𝐵_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5 𝐶_(𝑡−1)+𝛿_1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@𝐼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_𝑡=𝐴_2+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𝐵_21 𝑅_𝑡+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𝐵_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 𝑃_𝑡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+𝐵_23 𝑌_(𝑡−1)+𝐵_24 𝑄_(𝑡−1)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𝐵_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5 𝐶_(𝑡−1)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𝛿_2@𝐶_𝑡=𝐴_3+𝐵_31 𝑅_𝑡+𝐵_32 𝑃_𝑡+𝐵_33 𝑌_(𝑡−1)+𝐵_34 𝑄_(𝑡−1)+𝐵_35 𝐶_(𝑡−1)+𝛿_3@𝑄_𝑡=𝐴_4+𝐵_41 𝑅_𝑡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𝐵_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𝐵_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 𝑌_(𝑡−1)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+𝐵_44 𝑄_(𝑡−1)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𝐵_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5 𝐶_(𝑡−1)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+𝛿_4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)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┤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7621</xdr:colOff>
      <xdr:row>2</xdr:row>
      <xdr:rowOff>12160</xdr:rowOff>
    </xdr:from>
    <xdr:to>
      <xdr:col>15</xdr:col>
      <xdr:colOff>514739</xdr:colOff>
      <xdr:row>16</xdr:row>
      <xdr:rowOff>68580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176F079-5E6E-4F29-AA84-1D8C82621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99961" y="377920"/>
          <a:ext cx="5993518" cy="2936780"/>
        </a:xfrm>
        <a:prstGeom prst="rect">
          <a:avLst/>
        </a:prstGeom>
      </xdr:spPr>
    </xdr:pic>
    <xdr:clientData/>
  </xdr:twoCellAnchor>
  <xdr:twoCellAnchor editAs="oneCell">
    <xdr:from>
      <xdr:col>6</xdr:col>
      <xdr:colOff>45358</xdr:colOff>
      <xdr:row>17</xdr:row>
      <xdr:rowOff>45639</xdr:rowOff>
    </xdr:from>
    <xdr:to>
      <xdr:col>16</xdr:col>
      <xdr:colOff>63501</xdr:colOff>
      <xdr:row>24</xdr:row>
      <xdr:rowOff>154212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05C21D4-B435-43BA-B149-3849F9F89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38787" y="3456496"/>
          <a:ext cx="6096000" cy="1378573"/>
        </a:xfrm>
        <a:prstGeom prst="rect">
          <a:avLst/>
        </a:prstGeom>
      </xdr:spPr>
    </xdr:pic>
    <xdr:clientData/>
  </xdr:twoCellAnchor>
  <xdr:twoCellAnchor editAs="oneCell">
    <xdr:from>
      <xdr:col>6</xdr:col>
      <xdr:colOff>45356</xdr:colOff>
      <xdr:row>24</xdr:row>
      <xdr:rowOff>117795</xdr:rowOff>
    </xdr:from>
    <xdr:to>
      <xdr:col>16</xdr:col>
      <xdr:colOff>72233</xdr:colOff>
      <xdr:row>28</xdr:row>
      <xdr:rowOff>172358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16F8FDC2-4C06-401F-8852-C9CFC5FDB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38785" y="4798652"/>
          <a:ext cx="6104734" cy="1623920"/>
        </a:xfrm>
        <a:prstGeom prst="rect">
          <a:avLst/>
        </a:prstGeom>
      </xdr:spPr>
    </xdr:pic>
    <xdr:clientData/>
  </xdr:twoCellAnchor>
  <xdr:twoCellAnchor editAs="oneCell">
    <xdr:from>
      <xdr:col>6</xdr:col>
      <xdr:colOff>45357</xdr:colOff>
      <xdr:row>28</xdr:row>
      <xdr:rowOff>166800</xdr:rowOff>
    </xdr:from>
    <xdr:to>
      <xdr:col>15</xdr:col>
      <xdr:colOff>3595</xdr:colOff>
      <xdr:row>35</xdr:row>
      <xdr:rowOff>174858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B9760A0C-1C37-4687-AAFC-5F27F9B94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38786" y="6417014"/>
          <a:ext cx="5428309" cy="127805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15240</xdr:colOff>
      <xdr:row>0</xdr:row>
      <xdr:rowOff>26670</xdr:rowOff>
    </xdr:from>
    <xdr:ext cx="3512820" cy="137541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2CD927C-8E7F-431B-91CF-E8FF14C1FFAC}"/>
                </a:ext>
              </a:extLst>
            </xdr:cNvPr>
            <xdr:cNvSpPr txBox="1"/>
          </xdr:nvSpPr>
          <xdr:spPr>
            <a:xfrm>
              <a:off x="7330440" y="26670"/>
              <a:ext cx="3512820" cy="1375410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4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4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sSub>
                              <m:sSub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𝑏</m:t>
                                </m:r>
                              </m:e>
                              <m:sub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10</m:t>
                                </m:r>
                              </m:sub>
                            </m:s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𝑏</m:t>
                                </m:r>
                              </m:e>
                              <m:sub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11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𝑏</m:t>
                                </m:r>
                              </m:e>
                              <m:sub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12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ru-RU" sz="1400" b="0" i="1">
                                    <a:latin typeface="Cambria Math" panose="02040503050406030204" pitchFamily="18" charset="0"/>
                                  </a:rPr>
                                  <m:t>с</m:t>
                                </m:r>
                              </m:e>
                              <m:sub>
                                <m:r>
                                  <a:rPr lang="ru-RU" sz="1400" b="0" i="1">
                                    <a:latin typeface="Cambria Math" panose="02040503050406030204" pitchFamily="18" charset="0"/>
                                  </a:rPr>
                                  <m:t>13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𝜀</m:t>
                                </m:r>
                              </m:e>
                              <m:sub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</m:e>
                          <m:e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20</m:t>
                                </m:r>
                              </m:sub>
                            </m:sSub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22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23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𝜀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</m:e>
                          <m:e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30</m:t>
                                </m:r>
                              </m:sub>
                            </m:sSub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32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sSub>
                                  <m:sSubPr>
                                    <m:ctrlP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𝑐</m:t>
                                    </m:r>
                                  </m:e>
                                  <m:sub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31</m:t>
                                    </m:r>
                                  </m:sub>
                                </m:sSub>
                                <m:sSub>
                                  <m:sSubPr>
                                    <m:ctrlP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𝑦</m:t>
                                    </m:r>
                                  </m:e>
                                  <m:sub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sub>
                                </m:sSub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r>
                                  <a:rPr lang="ru-RU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с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32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𝜀</m:t>
                                </m:r>
                              </m:e>
                              <m:sub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ru-RU" sz="14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2CD927C-8E7F-431B-91CF-E8FF14C1FFAC}"/>
                </a:ext>
              </a:extLst>
            </xdr:cNvPr>
            <xdr:cNvSpPr txBox="1"/>
          </xdr:nvSpPr>
          <xdr:spPr>
            <a:xfrm>
              <a:off x="7330440" y="26670"/>
              <a:ext cx="3512820" cy="1375410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ru-RU" sz="1400" i="0">
                  <a:latin typeface="Cambria Math" panose="02040503050406030204" pitchFamily="18" charset="0"/>
                </a:rPr>
                <a:t>{</a:t>
              </a:r>
              <a:r>
                <a:rPr lang="ru-RU" sz="1400" b="0" i="0">
                  <a:latin typeface="Cambria Math" panose="02040503050406030204" pitchFamily="18" charset="0"/>
                </a:rPr>
                <a:t>█(</a:t>
              </a:r>
              <a:r>
                <a:rPr lang="en-US" sz="1400" b="0" i="0">
                  <a:latin typeface="Cambria Math" panose="02040503050406030204" pitchFamily="18" charset="0"/>
                </a:rPr>
                <a:t>𝑦_1=𝑏_10+𝑏_11 𝑥_1+𝑏_12 𝑥_2+</a:t>
              </a:r>
              <a:r>
                <a:rPr lang="ru-RU" sz="1400" b="0" i="0">
                  <a:latin typeface="Cambria Math" panose="02040503050406030204" pitchFamily="18" charset="0"/>
                </a:rPr>
                <a:t>с_13</a:t>
              </a:r>
              <a:r>
                <a:rPr lang="en-US" sz="1400" b="0" i="0">
                  <a:latin typeface="Cambria Math" panose="02040503050406030204" pitchFamily="18" charset="0"/>
                </a:rPr>
                <a:t> 𝑦_3+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𝜀_1@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𝑦_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=𝑏_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0+𝑏_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22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𝑥_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+𝑏_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23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𝑥_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+𝜀_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2@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𝑦_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=𝑏_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0+𝑏_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 𝑥_2+</a:t>
              </a:r>
              <a:r>
                <a:rPr lang="ru-RU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𝑐_31 𝑦_1+</a:t>
              </a:r>
              <a:r>
                <a:rPr lang="ru-RU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с〗_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32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𝑦_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+𝜀_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3 )</a:t>
              </a:r>
              <a:r>
                <a:rPr lang="ru-RU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┤</a:t>
              </a:r>
              <a:endParaRPr lang="ru-RU" sz="1400"/>
            </a:p>
          </xdr:txBody>
        </xdr:sp>
      </mc:Fallback>
    </mc:AlternateContent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459632</xdr:colOff>
      <xdr:row>0</xdr:row>
      <xdr:rowOff>173886</xdr:rowOff>
    </xdr:from>
    <xdr:to>
      <xdr:col>12</xdr:col>
      <xdr:colOff>1010475</xdr:colOff>
      <xdr:row>14</xdr:row>
      <xdr:rowOff>206058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48CB2CD-17AB-4424-8A5E-15F6C28FE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44443" y="173886"/>
          <a:ext cx="5740681" cy="3272388"/>
        </a:xfrm>
        <a:prstGeom prst="rect">
          <a:avLst/>
        </a:prstGeom>
      </xdr:spPr>
    </xdr:pic>
    <xdr:clientData/>
  </xdr:twoCellAnchor>
  <xdr:twoCellAnchor>
    <xdr:from>
      <xdr:col>1</xdr:col>
      <xdr:colOff>3431</xdr:colOff>
      <xdr:row>17</xdr:row>
      <xdr:rowOff>182604</xdr:rowOff>
    </xdr:from>
    <xdr:to>
      <xdr:col>3</xdr:col>
      <xdr:colOff>1318053</xdr:colOff>
      <xdr:row>30</xdr:row>
      <xdr:rowOff>6865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FC71952-A990-420D-9ED2-3A0AF1C805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3433</xdr:colOff>
      <xdr:row>17</xdr:row>
      <xdr:rowOff>183290</xdr:rowOff>
    </xdr:from>
    <xdr:to>
      <xdr:col>11</xdr:col>
      <xdr:colOff>6865</xdr:colOff>
      <xdr:row>29</xdr:row>
      <xdr:rowOff>185351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E978B41-EE8F-4830-BDDC-99504869C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14</xdr:col>
      <xdr:colOff>601980</xdr:colOff>
      <xdr:row>6</xdr:row>
      <xdr:rowOff>7620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CC25DED-A4D3-445C-9923-BDBDC2B6E05C}"/>
            </a:ext>
          </a:extLst>
        </xdr:cNvPr>
        <xdr:cNvSpPr txBox="1"/>
      </xdr:nvSpPr>
      <xdr:spPr>
        <a:xfrm>
          <a:off x="4876800" y="365760"/>
          <a:ext cx="4259580" cy="922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180000" rIns="180000" rtlCol="0" anchor="ctr"/>
        <a:lstStyle/>
        <a:p>
          <a:pPr algn="l"/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Исследуйте автокорреляцию случайных остатков в моделях трендов: степенного для стоимости основных фондов и гиперболы для дивидендов. Используйте критерий Дарбина-Уотсона</a:t>
          </a:r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7A34D-1D3B-4B98-A78E-061F58D4570C}">
  <sheetPr codeName="Лист1">
    <tabColor theme="5" tint="0.79998168889431442"/>
  </sheetPr>
  <dimension ref="A1:W41"/>
  <sheetViews>
    <sheetView topLeftCell="C13" zoomScale="85" zoomScaleNormal="85" workbookViewId="0">
      <selection activeCell="C28" sqref="C28"/>
    </sheetView>
  </sheetViews>
  <sheetFormatPr defaultRowHeight="14.4" x14ac:dyDescent="0.3"/>
  <cols>
    <col min="2" max="2" width="25.6640625" bestFit="1" customWidth="1"/>
    <col min="3" max="3" width="17.33203125" customWidth="1"/>
    <col min="4" max="4" width="18.5546875" customWidth="1"/>
    <col min="5" max="5" width="38.109375" bestFit="1" customWidth="1"/>
    <col min="6" max="6" width="16" bestFit="1" customWidth="1"/>
    <col min="18" max="18" width="13.6640625" bestFit="1" customWidth="1"/>
    <col min="19" max="19" width="12.44140625" bestFit="1" customWidth="1"/>
    <col min="20" max="20" width="12.88671875" bestFit="1" customWidth="1"/>
    <col min="23" max="23" width="12.21875" bestFit="1" customWidth="1"/>
  </cols>
  <sheetData>
    <row r="1" spans="1:23" x14ac:dyDescent="0.3">
      <c r="A1" s="1" t="s">
        <v>0</v>
      </c>
      <c r="B1" s="1"/>
      <c r="C1" s="1"/>
      <c r="D1" s="1"/>
      <c r="E1" s="1"/>
      <c r="F1" s="1"/>
      <c r="G1" s="1" t="s">
        <v>8</v>
      </c>
      <c r="H1" s="1"/>
      <c r="I1" s="1"/>
    </row>
    <row r="2" spans="1:23" x14ac:dyDescent="0.3">
      <c r="A2" s="1"/>
      <c r="B2" s="1"/>
      <c r="C2" s="1" t="s">
        <v>1</v>
      </c>
      <c r="D2" s="1"/>
      <c r="E2" s="1"/>
      <c r="F2" s="1"/>
      <c r="G2" s="1" t="s">
        <v>6</v>
      </c>
      <c r="H2" s="1"/>
      <c r="I2" s="1"/>
    </row>
    <row r="3" spans="1:23" x14ac:dyDescent="0.3">
      <c r="A3" s="1"/>
      <c r="B3" s="1"/>
      <c r="C3" s="1" t="s">
        <v>2</v>
      </c>
      <c r="D3" s="1"/>
      <c r="E3" s="1"/>
      <c r="F3" s="1"/>
      <c r="G3" s="1" t="s">
        <v>7</v>
      </c>
      <c r="H3" s="1"/>
      <c r="I3" s="1"/>
    </row>
    <row r="4" spans="1:23" x14ac:dyDescent="0.3">
      <c r="A4" s="1"/>
      <c r="B4" s="1"/>
      <c r="C4" s="1"/>
      <c r="D4" s="1"/>
      <c r="E4" s="1"/>
      <c r="F4" s="1"/>
      <c r="G4" s="1"/>
      <c r="H4" s="1"/>
      <c r="I4" s="1"/>
    </row>
    <row r="5" spans="1:23" x14ac:dyDescent="0.3">
      <c r="A5" s="1" t="s">
        <v>3</v>
      </c>
      <c r="B5" s="1"/>
      <c r="C5" s="1"/>
      <c r="D5" s="1"/>
      <c r="E5" s="173" t="s">
        <v>191</v>
      </c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4" t="s">
        <v>216</v>
      </c>
      <c r="V5" s="174"/>
      <c r="W5" s="174"/>
    </row>
    <row r="6" spans="1:23" ht="46.5" customHeight="1" thickBot="1" x14ac:dyDescent="0.4">
      <c r="A6" s="28" t="s">
        <v>4</v>
      </c>
      <c r="B6" s="29" t="s">
        <v>162</v>
      </c>
      <c r="C6" s="30" t="s">
        <v>158</v>
      </c>
      <c r="D6" s="28" t="s">
        <v>159</v>
      </c>
      <c r="E6" s="20" t="s">
        <v>118</v>
      </c>
      <c r="F6" s="23" t="s">
        <v>119</v>
      </c>
      <c r="G6" s="20" t="s">
        <v>112</v>
      </c>
      <c r="H6" s="20" t="s">
        <v>113</v>
      </c>
      <c r="I6" s="20" t="s">
        <v>125</v>
      </c>
      <c r="J6" s="23" t="s">
        <v>126</v>
      </c>
      <c r="K6" s="20" t="s">
        <v>127</v>
      </c>
      <c r="L6" s="20" t="s">
        <v>128</v>
      </c>
      <c r="M6" s="20" t="s">
        <v>129</v>
      </c>
      <c r="N6" s="23" t="s">
        <v>95</v>
      </c>
      <c r="O6" s="23" t="s">
        <v>96</v>
      </c>
      <c r="P6" s="23" t="s">
        <v>131</v>
      </c>
      <c r="Q6" s="23" t="s">
        <v>217</v>
      </c>
      <c r="R6" s="23" t="s">
        <v>166</v>
      </c>
      <c r="S6" s="23" t="s">
        <v>175</v>
      </c>
      <c r="T6" s="23" t="s">
        <v>176</v>
      </c>
      <c r="U6" s="23" t="s">
        <v>192</v>
      </c>
      <c r="V6" s="35" t="s">
        <v>193</v>
      </c>
      <c r="W6" s="35" t="s">
        <v>198</v>
      </c>
    </row>
    <row r="7" spans="1:23" x14ac:dyDescent="0.3">
      <c r="A7" s="24">
        <v>1</v>
      </c>
      <c r="B7" s="25">
        <v>118.56</v>
      </c>
      <c r="C7" s="26">
        <v>247</v>
      </c>
      <c r="D7" s="24">
        <v>15</v>
      </c>
      <c r="E7" s="24">
        <f>C7*B7</f>
        <v>29284.32</v>
      </c>
      <c r="F7" s="27">
        <f>D7*B7</f>
        <v>1778.4</v>
      </c>
      <c r="G7" s="24">
        <f>C7^2</f>
        <v>61009</v>
      </c>
      <c r="H7" s="24">
        <f t="shared" ref="H7:H21" si="0">D7^2</f>
        <v>225</v>
      </c>
      <c r="I7" s="24">
        <f t="shared" ref="I7:I21" si="1">$B$29+$B$28*C7</f>
        <v>129.14594483514171</v>
      </c>
      <c r="J7" s="27">
        <f>'ДЗ-3'!$B$11+'ДЗ-3'!$B$10*'З-1. Данные'!D7</f>
        <v>119.5132532637079</v>
      </c>
      <c r="K7" s="24">
        <f>(I7-$B$23)^2</f>
        <v>1871.3746932374752</v>
      </c>
      <c r="L7" s="27">
        <f>(J7-$B$23)^2</f>
        <v>2797.5721340916698</v>
      </c>
      <c r="M7" s="24">
        <f t="shared" ref="M7:M21" si="2">(B7-$B$23)^2</f>
        <v>2899.3199217777787</v>
      </c>
      <c r="N7" s="27">
        <f t="shared" ref="N7:N21" si="3">(C7-$C$23)^2</f>
        <v>4928.0399999999981</v>
      </c>
      <c r="O7" s="27">
        <f t="shared" ref="O7:O21" si="4">(D7-$D$23)^2</f>
        <v>69.444444444444429</v>
      </c>
      <c r="P7" s="27">
        <f t="shared" ref="P7:P21" si="5">(B7-I7)^2</f>
        <v>112.0622280526633</v>
      </c>
      <c r="Q7" s="27">
        <f>(B7-J7)^2</f>
        <v>0.90869178476974977</v>
      </c>
      <c r="R7" s="27">
        <f>(C7-$C$23) * (D7-$D$23)</f>
        <v>584.99999999999977</v>
      </c>
      <c r="S7" s="27">
        <f>(B7-$B$23)*(C7-$C$23)</f>
        <v>3779.9423999999999</v>
      </c>
      <c r="T7" s="27">
        <f>(B7-$B$23)*(D7-$D$23)</f>
        <v>448.71111111111111</v>
      </c>
      <c r="U7" s="27">
        <f t="shared" ref="U7:U21" si="6">$F$29+$F$30*C7+$F$31*D7</f>
        <v>112.99019260886585</v>
      </c>
      <c r="V7" s="27">
        <f t="shared" ref="V7:V21" si="7">(U7-B7)^2</f>
        <v>31.022754374332585</v>
      </c>
      <c r="W7" s="27">
        <f t="shared" ref="W7:W21" si="8">(U7-$B$23)^2</f>
        <v>3530.1589473082754</v>
      </c>
    </row>
    <row r="8" spans="1:23" x14ac:dyDescent="0.3">
      <c r="A8" s="4">
        <v>2</v>
      </c>
      <c r="B8" s="5">
        <v>124.96</v>
      </c>
      <c r="C8" s="6">
        <v>284</v>
      </c>
      <c r="D8" s="4">
        <v>18</v>
      </c>
      <c r="E8" s="4">
        <f t="shared" ref="E8:E21" si="9">C8*B8</f>
        <v>35488.639999999999</v>
      </c>
      <c r="F8" s="19">
        <f t="shared" ref="F8:F21" si="10">D8*B8</f>
        <v>2249.2799999999997</v>
      </c>
      <c r="G8" s="4">
        <f t="shared" ref="G8:G21" si="11">C8^2</f>
        <v>80656</v>
      </c>
      <c r="H8" s="4">
        <f t="shared" si="0"/>
        <v>324</v>
      </c>
      <c r="I8" s="4">
        <f t="shared" si="1"/>
        <v>151.94647723447349</v>
      </c>
      <c r="J8" s="27">
        <f>'ДЗ-3'!$B$11+'ДЗ-3'!$B$10*'З-1. Данные'!D8</f>
        <v>138.55440208877306</v>
      </c>
      <c r="K8" s="4">
        <f t="shared" ref="K8:K21" si="12">(I8-$B$23)^2</f>
        <v>418.56479287385508</v>
      </c>
      <c r="L8" s="19">
        <f t="shared" ref="L8:L21" si="13">(J8-$B$23)^2</f>
        <v>1145.8855461239477</v>
      </c>
      <c r="M8" s="4">
        <f t="shared" si="2"/>
        <v>2251.059655111113</v>
      </c>
      <c r="N8" s="19">
        <f t="shared" si="3"/>
        <v>1102.2399999999993</v>
      </c>
      <c r="O8" s="19">
        <f t="shared" si="4"/>
        <v>28.444444444444432</v>
      </c>
      <c r="P8" s="19">
        <f t="shared" si="5"/>
        <v>728.26995352675635</v>
      </c>
      <c r="Q8" s="27">
        <f t="shared" ref="Q8:Q21" si="14">(B8-J8)^2</f>
        <v>184.8077681512375</v>
      </c>
      <c r="R8" s="19">
        <f t="shared" ref="R8:R21" si="15">(C8-$C$23) * (D8-$D$23)</f>
        <v>177.06666666666658</v>
      </c>
      <c r="S8" s="19">
        <f t="shared" ref="S8:S21" si="16">(B8-$B$23)*(C8-$C$23)</f>
        <v>1575.1850666666667</v>
      </c>
      <c r="T8" s="19">
        <f t="shared" ref="T8:T21" si="17">(B8-$B$23)*(D8-$D$23)</f>
        <v>253.04177777777781</v>
      </c>
      <c r="U8" s="19">
        <f t="shared" si="6"/>
        <v>137.93159928946704</v>
      </c>
      <c r="V8" s="19">
        <f t="shared" si="7"/>
        <v>168.26238812650209</v>
      </c>
      <c r="W8" s="19">
        <f t="shared" si="8"/>
        <v>1188.4383389272264</v>
      </c>
    </row>
    <row r="9" spans="1:23" x14ac:dyDescent="0.3">
      <c r="A9" s="4">
        <v>3</v>
      </c>
      <c r="B9" s="5">
        <v>134.16</v>
      </c>
      <c r="C9" s="6">
        <v>258</v>
      </c>
      <c r="D9" s="4">
        <v>18</v>
      </c>
      <c r="E9" s="4">
        <f t="shared" si="9"/>
        <v>34613.279999999999</v>
      </c>
      <c r="F9" s="19">
        <f t="shared" si="10"/>
        <v>2414.88</v>
      </c>
      <c r="G9" s="4">
        <f t="shared" si="11"/>
        <v>66564</v>
      </c>
      <c r="H9" s="4">
        <f t="shared" si="0"/>
        <v>324</v>
      </c>
      <c r="I9" s="4">
        <f t="shared" si="1"/>
        <v>135.9244814944025</v>
      </c>
      <c r="J9" s="27">
        <f>'ДЗ-3'!$B$11+'ДЗ-3'!$B$10*'З-1. Данные'!D9</f>
        <v>138.55440208877306</v>
      </c>
      <c r="K9" s="4">
        <f t="shared" si="12"/>
        <v>1330.852550894024</v>
      </c>
      <c r="L9" s="19">
        <f t="shared" si="13"/>
        <v>1145.8855461239477</v>
      </c>
      <c r="M9" s="4">
        <f t="shared" si="2"/>
        <v>1462.705521777779</v>
      </c>
      <c r="N9" s="19">
        <f t="shared" si="3"/>
        <v>3504.6399999999985</v>
      </c>
      <c r="O9" s="19">
        <f t="shared" si="4"/>
        <v>28.444444444444432</v>
      </c>
      <c r="P9" s="19">
        <f t="shared" si="5"/>
        <v>3.1133949440888897</v>
      </c>
      <c r="Q9" s="27">
        <f t="shared" si="14"/>
        <v>19.310769717813059</v>
      </c>
      <c r="R9" s="19">
        <f t="shared" si="15"/>
        <v>315.73333333333318</v>
      </c>
      <c r="S9" s="19">
        <f t="shared" si="16"/>
        <v>2264.1237333333338</v>
      </c>
      <c r="T9" s="19">
        <f t="shared" si="17"/>
        <v>203.97511111111115</v>
      </c>
      <c r="U9" s="19">
        <f t="shared" si="6"/>
        <v>130.05720838610625</v>
      </c>
      <c r="V9" s="19">
        <f t="shared" si="7"/>
        <v>16.832899027036824</v>
      </c>
      <c r="W9" s="19">
        <f t="shared" si="8"/>
        <v>1793.3636865459575</v>
      </c>
    </row>
    <row r="10" spans="1:23" x14ac:dyDescent="0.3">
      <c r="A10" s="4">
        <v>4</v>
      </c>
      <c r="B10" s="5">
        <v>155.04</v>
      </c>
      <c r="C10" s="6">
        <v>323</v>
      </c>
      <c r="D10" s="4">
        <v>19</v>
      </c>
      <c r="E10" s="4">
        <f t="shared" si="9"/>
        <v>50077.919999999998</v>
      </c>
      <c r="F10" s="19">
        <f t="shared" si="10"/>
        <v>2945.7599999999998</v>
      </c>
      <c r="G10" s="4">
        <f t="shared" si="11"/>
        <v>104329</v>
      </c>
      <c r="H10" s="4">
        <f t="shared" si="0"/>
        <v>361</v>
      </c>
      <c r="I10" s="4">
        <f t="shared" si="1"/>
        <v>175.97947084457996</v>
      </c>
      <c r="J10" s="27">
        <f>'ДЗ-3'!$B$11+'ДЗ-3'!$B$10*'З-1. Данные'!D10</f>
        <v>144.9014516971281</v>
      </c>
      <c r="K10" s="4">
        <f t="shared" si="12"/>
        <v>12.774458949300174</v>
      </c>
      <c r="L10" s="19">
        <f t="shared" si="13"/>
        <v>756.46350505838836</v>
      </c>
      <c r="M10" s="4">
        <f t="shared" si="2"/>
        <v>301.55480177777849</v>
      </c>
      <c r="N10" s="19">
        <f t="shared" si="3"/>
        <v>33.640000000000128</v>
      </c>
      <c r="O10" s="19">
        <f t="shared" si="4"/>
        <v>18.777777777777768</v>
      </c>
      <c r="P10" s="19">
        <f t="shared" si="5"/>
        <v>438.46143925101467</v>
      </c>
      <c r="Q10" s="27">
        <f t="shared" si="14"/>
        <v>102.79016168966662</v>
      </c>
      <c r="R10" s="19">
        <f t="shared" si="15"/>
        <v>-25.133333333333375</v>
      </c>
      <c r="S10" s="19">
        <f t="shared" si="16"/>
        <v>-100.71893333333365</v>
      </c>
      <c r="T10" s="19">
        <f t="shared" si="17"/>
        <v>75.249777777777851</v>
      </c>
      <c r="U10" s="19">
        <f t="shared" si="6"/>
        <v>154.32169987875545</v>
      </c>
      <c r="V10" s="19">
        <f t="shared" si="7"/>
        <v>0.51595506417991943</v>
      </c>
      <c r="W10" s="19">
        <f t="shared" si="8"/>
        <v>327.01779891952879</v>
      </c>
    </row>
    <row r="11" spans="1:23" x14ac:dyDescent="0.3">
      <c r="A11" s="4">
        <v>5</v>
      </c>
      <c r="B11" s="5">
        <v>161.12</v>
      </c>
      <c r="C11" s="6">
        <v>304</v>
      </c>
      <c r="D11" s="4">
        <v>27</v>
      </c>
      <c r="E11" s="4">
        <f t="shared" si="9"/>
        <v>48980.480000000003</v>
      </c>
      <c r="F11" s="19">
        <f t="shared" si="10"/>
        <v>4350.24</v>
      </c>
      <c r="G11" s="4">
        <f t="shared" si="11"/>
        <v>92416</v>
      </c>
      <c r="H11" s="4">
        <f t="shared" si="0"/>
        <v>729</v>
      </c>
      <c r="I11" s="4">
        <f t="shared" si="1"/>
        <v>164.27108934222039</v>
      </c>
      <c r="J11" s="27">
        <f>'ДЗ-3'!$B$11+'ДЗ-3'!$B$10*'З-1. Данные'!D11</f>
        <v>195.67784856396855</v>
      </c>
      <c r="K11" s="4">
        <f t="shared" si="12"/>
        <v>66.165925306957192</v>
      </c>
      <c r="L11" s="19">
        <f t="shared" si="13"/>
        <v>541.60996516014768</v>
      </c>
      <c r="M11" s="4">
        <f t="shared" si="2"/>
        <v>127.35874844444461</v>
      </c>
      <c r="N11" s="19">
        <f t="shared" si="3"/>
        <v>174.2399999999997</v>
      </c>
      <c r="O11" s="19">
        <f t="shared" si="4"/>
        <v>13.444444444444454</v>
      </c>
      <c r="P11" s="19">
        <f t="shared" si="5"/>
        <v>9.9293640426549157</v>
      </c>
      <c r="Q11" s="27">
        <f t="shared" si="14"/>
        <v>1194.244897370183</v>
      </c>
      <c r="R11" s="19">
        <f t="shared" si="15"/>
        <v>-48.399999999999977</v>
      </c>
      <c r="S11" s="19">
        <f t="shared" si="16"/>
        <v>148.96639999999996</v>
      </c>
      <c r="T11" s="19">
        <f t="shared" si="17"/>
        <v>-41.379555555555598</v>
      </c>
      <c r="U11" s="19">
        <f t="shared" si="6"/>
        <v>185.19545116950783</v>
      </c>
      <c r="V11" s="19">
        <f t="shared" si="7"/>
        <v>579.62734901535589</v>
      </c>
      <c r="W11" s="19">
        <f t="shared" si="8"/>
        <v>163.58711426322878</v>
      </c>
    </row>
    <row r="12" spans="1:23" x14ac:dyDescent="0.3">
      <c r="A12" s="4">
        <v>6</v>
      </c>
      <c r="B12" s="5">
        <v>165.13</v>
      </c>
      <c r="C12" s="6">
        <v>337</v>
      </c>
      <c r="D12" s="4">
        <v>22</v>
      </c>
      <c r="E12" s="4">
        <f t="shared" si="9"/>
        <v>55648.81</v>
      </c>
      <c r="F12" s="19">
        <f t="shared" si="10"/>
        <v>3632.8599999999997</v>
      </c>
      <c r="G12" s="4">
        <f t="shared" si="11"/>
        <v>113569</v>
      </c>
      <c r="H12" s="4">
        <f t="shared" si="0"/>
        <v>484</v>
      </c>
      <c r="I12" s="4">
        <f t="shared" si="1"/>
        <v>184.6066993200028</v>
      </c>
      <c r="J12" s="27">
        <f>'ДЗ-3'!$B$11+'ДЗ-3'!$B$10*'З-1. Данные'!D12</f>
        <v>163.94260052219326</v>
      </c>
      <c r="K12" s="4">
        <f t="shared" si="12"/>
        <v>148.87333194065437</v>
      </c>
      <c r="L12" s="19">
        <f t="shared" si="13"/>
        <v>71.617846632746975</v>
      </c>
      <c r="M12" s="4">
        <f t="shared" si="2"/>
        <v>52.930475111111356</v>
      </c>
      <c r="N12" s="19">
        <f t="shared" si="3"/>
        <v>392.04000000000048</v>
      </c>
      <c r="O12" s="19">
        <f t="shared" si="4"/>
        <v>1.7777777777777746</v>
      </c>
      <c r="P12" s="19">
        <f t="shared" si="5"/>
        <v>379.34181640179787</v>
      </c>
      <c r="Q12" s="27">
        <f t="shared" si="14"/>
        <v>1.4099175198957083</v>
      </c>
      <c r="R12" s="19">
        <f t="shared" si="15"/>
        <v>-26.399999999999991</v>
      </c>
      <c r="S12" s="19">
        <f t="shared" si="16"/>
        <v>-144.05160000000041</v>
      </c>
      <c r="T12" s="19">
        <f t="shared" si="17"/>
        <v>9.7004444444444573</v>
      </c>
      <c r="U12" s="19">
        <f t="shared" si="6"/>
        <v>172.29729922176827</v>
      </c>
      <c r="V12" s="19">
        <f t="shared" si="7"/>
        <v>51.370178134360117</v>
      </c>
      <c r="W12" s="19">
        <f t="shared" si="8"/>
        <v>1.167136926165515E-2</v>
      </c>
    </row>
    <row r="13" spans="1:23" x14ac:dyDescent="0.3">
      <c r="A13" s="4">
        <v>7</v>
      </c>
      <c r="B13" s="5">
        <v>170</v>
      </c>
      <c r="C13" s="6">
        <v>340</v>
      </c>
      <c r="D13" s="4">
        <v>23</v>
      </c>
      <c r="E13" s="4">
        <f t="shared" si="9"/>
        <v>57800</v>
      </c>
      <c r="F13" s="19">
        <f t="shared" si="10"/>
        <v>3910</v>
      </c>
      <c r="G13" s="4">
        <f t="shared" si="11"/>
        <v>115600</v>
      </c>
      <c r="H13" s="4">
        <f t="shared" si="0"/>
        <v>529</v>
      </c>
      <c r="I13" s="4">
        <f t="shared" si="1"/>
        <v>186.45539113616482</v>
      </c>
      <c r="J13" s="27">
        <f>'ДЗ-3'!$B$11+'ДЗ-3'!$B$10*'З-1. Данные'!D13</f>
        <v>170.28965013054832</v>
      </c>
      <c r="K13" s="4">
        <f t="shared" si="12"/>
        <v>197.40412426290561</v>
      </c>
      <c r="L13" s="19">
        <f t="shared" si="13"/>
        <v>4.4761154145466859</v>
      </c>
      <c r="M13" s="4">
        <f t="shared" si="2"/>
        <v>5.7856284444445034</v>
      </c>
      <c r="N13" s="19">
        <f t="shared" si="3"/>
        <v>519.84000000000049</v>
      </c>
      <c r="O13" s="19">
        <f t="shared" si="4"/>
        <v>0.11111111111111033</v>
      </c>
      <c r="P13" s="19">
        <f t="shared" si="5"/>
        <v>270.77989744417175</v>
      </c>
      <c r="Q13" s="27">
        <f t="shared" si="14"/>
        <v>8.3897198126661202E-2</v>
      </c>
      <c r="R13" s="19">
        <f t="shared" si="15"/>
        <v>-7.5999999999999766</v>
      </c>
      <c r="S13" s="19">
        <f t="shared" si="16"/>
        <v>-54.841600000000305</v>
      </c>
      <c r="T13" s="19">
        <f t="shared" si="17"/>
        <v>0.80177777777777903</v>
      </c>
      <c r="U13" s="19">
        <f t="shared" si="6"/>
        <v>177.78439702178787</v>
      </c>
      <c r="V13" s="19">
        <f t="shared" si="7"/>
        <v>60.596836992819824</v>
      </c>
      <c r="W13" s="19">
        <f t="shared" si="8"/>
        <v>28.934326164449971</v>
      </c>
    </row>
    <row r="14" spans="1:23" x14ac:dyDescent="0.3">
      <c r="A14" s="4">
        <v>8</v>
      </c>
      <c r="B14" s="5">
        <v>174.42</v>
      </c>
      <c r="C14" s="6">
        <v>306</v>
      </c>
      <c r="D14" s="4">
        <v>24</v>
      </c>
      <c r="E14" s="4">
        <f t="shared" si="9"/>
        <v>53372.52</v>
      </c>
      <c r="F14" s="19">
        <f t="shared" si="10"/>
        <v>4186.08</v>
      </c>
      <c r="G14" s="4">
        <f t="shared" si="11"/>
        <v>93636</v>
      </c>
      <c r="H14" s="4">
        <f t="shared" si="0"/>
        <v>576</v>
      </c>
      <c r="I14" s="4">
        <f t="shared" si="1"/>
        <v>165.50355055299508</v>
      </c>
      <c r="J14" s="27">
        <f>'ДЗ-3'!$B$11+'ДЗ-3'!$B$10*'З-1. Данные'!D14</f>
        <v>176.63669973890339</v>
      </c>
      <c r="K14" s="4">
        <f t="shared" si="12"/>
        <v>47.634605546973802</v>
      </c>
      <c r="L14" s="19">
        <f t="shared" si="13"/>
        <v>17.904461658186744</v>
      </c>
      <c r="M14" s="4">
        <f t="shared" si="2"/>
        <v>4.0588817777776782</v>
      </c>
      <c r="N14" s="19">
        <f t="shared" si="3"/>
        <v>125.43999999999974</v>
      </c>
      <c r="O14" s="19">
        <f t="shared" si="4"/>
        <v>0.44444444444444603</v>
      </c>
      <c r="P14" s="19">
        <f t="shared" si="5"/>
        <v>79.503070740994133</v>
      </c>
      <c r="Q14" s="27">
        <f t="shared" si="14"/>
        <v>4.9137577324544059</v>
      </c>
      <c r="R14" s="19">
        <f t="shared" si="15"/>
        <v>-7.4666666666666721</v>
      </c>
      <c r="S14" s="19">
        <f t="shared" si="16"/>
        <v>-22.564266666666366</v>
      </c>
      <c r="T14" s="19">
        <f t="shared" si="17"/>
        <v>1.3431111111110969</v>
      </c>
      <c r="U14" s="19">
        <f t="shared" si="6"/>
        <v>172.06563084394784</v>
      </c>
      <c r="V14" s="19">
        <f t="shared" si="7"/>
        <v>5.5430541229696839</v>
      </c>
      <c r="W14" s="19">
        <f t="shared" si="8"/>
        <v>0.115397781294707</v>
      </c>
    </row>
    <row r="15" spans="1:23" x14ac:dyDescent="0.3">
      <c r="A15" s="4">
        <v>9</v>
      </c>
      <c r="B15" s="5">
        <v>175.45</v>
      </c>
      <c r="C15" s="6">
        <v>290</v>
      </c>
      <c r="D15" s="4">
        <v>24</v>
      </c>
      <c r="E15" s="4">
        <f t="shared" si="9"/>
        <v>50880.5</v>
      </c>
      <c r="F15" s="19">
        <f t="shared" si="10"/>
        <v>4210.7999999999993</v>
      </c>
      <c r="G15" s="4">
        <f t="shared" si="11"/>
        <v>84100</v>
      </c>
      <c r="H15" s="4">
        <f t="shared" si="0"/>
        <v>576</v>
      </c>
      <c r="I15" s="4">
        <f t="shared" si="1"/>
        <v>155.64386086679755</v>
      </c>
      <c r="J15" s="27">
        <f>'ДЗ-3'!$B$11+'ДЗ-3'!$B$10*'З-1. Данные'!D15</f>
        <v>176.63669973890339</v>
      </c>
      <c r="K15" s="4">
        <f t="shared" si="12"/>
        <v>280.94695924643747</v>
      </c>
      <c r="L15" s="19">
        <f t="shared" si="13"/>
        <v>17.904461658186744</v>
      </c>
      <c r="M15" s="4">
        <f t="shared" si="2"/>
        <v>9.2699951111109673</v>
      </c>
      <c r="N15" s="19">
        <f t="shared" si="3"/>
        <v>739.83999999999935</v>
      </c>
      <c r="O15" s="19">
        <f t="shared" si="4"/>
        <v>0.44444444444444603</v>
      </c>
      <c r="P15" s="19">
        <f t="shared" si="5"/>
        <v>392.28314736377291</v>
      </c>
      <c r="Q15" s="27">
        <f t="shared" si="14"/>
        <v>1.4082562703133972</v>
      </c>
      <c r="R15" s="19">
        <f t="shared" si="15"/>
        <v>-18.133333333333358</v>
      </c>
      <c r="S15" s="19">
        <f t="shared" si="16"/>
        <v>-82.814933333332661</v>
      </c>
      <c r="T15" s="19">
        <f t="shared" si="17"/>
        <v>2.0297777777777655</v>
      </c>
      <c r="U15" s="19">
        <f t="shared" si="6"/>
        <v>167.21985182649505</v>
      </c>
      <c r="V15" s="19">
        <f t="shared" si="7"/>
        <v>67.735338957846764</v>
      </c>
      <c r="W15" s="19">
        <f t="shared" si="8"/>
        <v>26.889218457762009</v>
      </c>
    </row>
    <row r="16" spans="1:23" x14ac:dyDescent="0.3">
      <c r="A16" s="4">
        <v>10</v>
      </c>
      <c r="B16" s="5">
        <v>177.48</v>
      </c>
      <c r="C16" s="6">
        <v>348</v>
      </c>
      <c r="D16" s="4">
        <v>27</v>
      </c>
      <c r="E16" s="4">
        <f t="shared" si="9"/>
        <v>61763.039999999994</v>
      </c>
      <c r="F16" s="19">
        <f t="shared" si="10"/>
        <v>4791.96</v>
      </c>
      <c r="G16" s="4">
        <f t="shared" si="11"/>
        <v>121104</v>
      </c>
      <c r="H16" s="4">
        <f t="shared" si="0"/>
        <v>729</v>
      </c>
      <c r="I16" s="4">
        <f t="shared" si="1"/>
        <v>191.3852359792636</v>
      </c>
      <c r="J16" s="27">
        <f>'ДЗ-3'!$B$11+'ДЗ-3'!$B$10*'З-1. Данные'!D16</f>
        <v>195.67784856396855</v>
      </c>
      <c r="K16" s="4">
        <f t="shared" si="12"/>
        <v>360.23670444899022</v>
      </c>
      <c r="L16" s="19">
        <f t="shared" si="13"/>
        <v>541.60996516014768</v>
      </c>
      <c r="M16" s="4">
        <f t="shared" si="2"/>
        <v>25.752241777777549</v>
      </c>
      <c r="N16" s="19">
        <f t="shared" si="3"/>
        <v>948.64000000000067</v>
      </c>
      <c r="O16" s="19">
        <f t="shared" si="4"/>
        <v>13.444444444444454</v>
      </c>
      <c r="P16" s="19">
        <f t="shared" si="5"/>
        <v>193.35558763900715</v>
      </c>
      <c r="Q16" s="27">
        <f t="shared" si="14"/>
        <v>331.16169235713267</v>
      </c>
      <c r="R16" s="19">
        <f t="shared" si="15"/>
        <v>112.93333333333341</v>
      </c>
      <c r="S16" s="19">
        <f t="shared" si="16"/>
        <v>156.29973333333271</v>
      </c>
      <c r="T16" s="19">
        <f t="shared" si="17"/>
        <v>18.607111111111035</v>
      </c>
      <c r="U16" s="19">
        <f t="shared" si="6"/>
        <v>198.52134346750304</v>
      </c>
      <c r="V16" s="19">
        <f t="shared" si="7"/>
        <v>442.73813491743346</v>
      </c>
      <c r="W16" s="19">
        <f t="shared" si="8"/>
        <v>682.04598532805437</v>
      </c>
    </row>
    <row r="17" spans="1:23" x14ac:dyDescent="0.3">
      <c r="A17" s="4">
        <v>11</v>
      </c>
      <c r="B17" s="5">
        <v>190.62</v>
      </c>
      <c r="C17" s="6">
        <v>353</v>
      </c>
      <c r="D17" s="4">
        <v>22</v>
      </c>
      <c r="E17" s="4">
        <f t="shared" si="9"/>
        <v>67288.86</v>
      </c>
      <c r="F17" s="19">
        <f t="shared" si="10"/>
        <v>4193.6400000000003</v>
      </c>
      <c r="G17" s="4">
        <f t="shared" si="11"/>
        <v>124609</v>
      </c>
      <c r="H17" s="4">
        <f t="shared" si="0"/>
        <v>484</v>
      </c>
      <c r="I17" s="4">
        <f t="shared" si="1"/>
        <v>194.46638900620033</v>
      </c>
      <c r="J17" s="27">
        <f>'ДЗ-3'!$B$11+'ДЗ-3'!$B$10*'З-1. Данные'!D17</f>
        <v>163.94260052219326</v>
      </c>
      <c r="K17" s="4">
        <f t="shared" si="12"/>
        <v>486.6901774013366</v>
      </c>
      <c r="L17" s="19">
        <f t="shared" si="13"/>
        <v>71.617846632746975</v>
      </c>
      <c r="M17" s="4">
        <f t="shared" si="2"/>
        <v>331.7740817777775</v>
      </c>
      <c r="N17" s="19">
        <f t="shared" si="3"/>
        <v>1281.6400000000008</v>
      </c>
      <c r="O17" s="19">
        <f t="shared" si="4"/>
        <v>1.7777777777777746</v>
      </c>
      <c r="P17" s="19">
        <f t="shared" si="5"/>
        <v>14.79470838701873</v>
      </c>
      <c r="Q17" s="27">
        <f t="shared" si="14"/>
        <v>711.68364289848353</v>
      </c>
      <c r="R17" s="19">
        <f t="shared" si="15"/>
        <v>-47.733333333333306</v>
      </c>
      <c r="S17" s="19">
        <f t="shared" si="16"/>
        <v>652.08506666666665</v>
      </c>
      <c r="T17" s="19">
        <f t="shared" si="17"/>
        <v>-24.28622222222219</v>
      </c>
      <c r="U17" s="19">
        <f t="shared" si="6"/>
        <v>177.14307823922107</v>
      </c>
      <c r="V17" s="19">
        <f t="shared" si="7"/>
        <v>181.62742014615682</v>
      </c>
      <c r="W17" s="19">
        <f t="shared" si="8"/>
        <v>22.446226793265073</v>
      </c>
    </row>
    <row r="18" spans="1:23" x14ac:dyDescent="0.3">
      <c r="A18" s="4">
        <v>12</v>
      </c>
      <c r="B18" s="5">
        <v>197.34</v>
      </c>
      <c r="C18" s="6">
        <v>299</v>
      </c>
      <c r="D18" s="4">
        <v>27</v>
      </c>
      <c r="E18" s="4">
        <f t="shared" si="9"/>
        <v>59004.66</v>
      </c>
      <c r="F18" s="19">
        <f t="shared" si="10"/>
        <v>5328.18</v>
      </c>
      <c r="G18" s="4">
        <f t="shared" si="11"/>
        <v>89401</v>
      </c>
      <c r="H18" s="4">
        <f t="shared" si="0"/>
        <v>729</v>
      </c>
      <c r="I18" s="4">
        <f t="shared" si="1"/>
        <v>161.18993631528366</v>
      </c>
      <c r="J18" s="27">
        <f>'ДЗ-3'!$B$11+'ДЗ-3'!$B$10*'З-1. Данные'!D18</f>
        <v>195.67784856396855</v>
      </c>
      <c r="K18" s="4">
        <f t="shared" si="12"/>
        <v>125.78513027247777</v>
      </c>
      <c r="L18" s="19">
        <f t="shared" si="13"/>
        <v>541.60996516014768</v>
      </c>
      <c r="M18" s="4">
        <f t="shared" si="2"/>
        <v>621.73760177777729</v>
      </c>
      <c r="N18" s="19">
        <f t="shared" si="3"/>
        <v>331.23999999999961</v>
      </c>
      <c r="O18" s="19">
        <f t="shared" si="4"/>
        <v>13.444444444444454</v>
      </c>
      <c r="P18" s="19">
        <f t="shared" si="5"/>
        <v>1306.8271044090475</v>
      </c>
      <c r="Q18" s="27">
        <f t="shared" si="14"/>
        <v>2.7627473963014135</v>
      </c>
      <c r="R18" s="19">
        <f t="shared" si="15"/>
        <v>-66.73333333333332</v>
      </c>
      <c r="S18" s="19">
        <f t="shared" si="16"/>
        <v>-453.81093333333291</v>
      </c>
      <c r="T18" s="19">
        <f t="shared" si="17"/>
        <v>91.427111111111103</v>
      </c>
      <c r="U18" s="19">
        <f t="shared" si="6"/>
        <v>183.68114522655384</v>
      </c>
      <c r="V18" s="19">
        <f t="shared" si="7"/>
        <v>186.56431372209312</v>
      </c>
      <c r="W18" s="19">
        <f t="shared" si="8"/>
        <v>127.1439338512927</v>
      </c>
    </row>
    <row r="19" spans="1:23" x14ac:dyDescent="0.3">
      <c r="A19" s="4">
        <v>13</v>
      </c>
      <c r="B19" s="5">
        <v>203.28</v>
      </c>
      <c r="C19" s="6">
        <v>363</v>
      </c>
      <c r="D19" s="4">
        <v>28</v>
      </c>
      <c r="E19" s="4">
        <f t="shared" si="9"/>
        <v>73790.64</v>
      </c>
      <c r="F19" s="19">
        <f t="shared" si="10"/>
        <v>5691.84</v>
      </c>
      <c r="G19" s="4">
        <f t="shared" si="11"/>
        <v>131769</v>
      </c>
      <c r="H19" s="4">
        <f t="shared" si="0"/>
        <v>784</v>
      </c>
      <c r="I19" s="4">
        <f t="shared" si="1"/>
        <v>200.62869506007377</v>
      </c>
      <c r="J19" s="27">
        <f>'ДЗ-3'!$B$11+'ДЗ-3'!$B$10*'З-1. Данные'!D19</f>
        <v>202.02489817232359</v>
      </c>
      <c r="K19" s="4">
        <f t="shared" si="12"/>
        <v>796.5581471584361</v>
      </c>
      <c r="L19" s="19">
        <f t="shared" si="13"/>
        <v>877.31862125114708</v>
      </c>
      <c r="M19" s="4">
        <f t="shared" si="2"/>
        <v>953.24504177777715</v>
      </c>
      <c r="N19" s="19">
        <f t="shared" si="3"/>
        <v>2097.6400000000012</v>
      </c>
      <c r="O19" s="19">
        <f t="shared" si="4"/>
        <v>21.777777777777789</v>
      </c>
      <c r="P19" s="19">
        <f t="shared" si="5"/>
        <v>7.0294178844772528</v>
      </c>
      <c r="Q19" s="27">
        <f t="shared" si="14"/>
        <v>1.5752805978366711</v>
      </c>
      <c r="R19" s="19">
        <f t="shared" si="15"/>
        <v>213.73333333333343</v>
      </c>
      <c r="S19" s="19">
        <f t="shared" si="16"/>
        <v>1414.0597333333333</v>
      </c>
      <c r="T19" s="19">
        <f t="shared" si="17"/>
        <v>144.08177777777777</v>
      </c>
      <c r="U19" s="19">
        <f t="shared" si="6"/>
        <v>207.64277553061225</v>
      </c>
      <c r="V19" s="19">
        <f t="shared" si="7"/>
        <v>19.033810330509031</v>
      </c>
      <c r="W19" s="19">
        <f t="shared" si="8"/>
        <v>1241.6773326065722</v>
      </c>
    </row>
    <row r="20" spans="1:23" x14ac:dyDescent="0.3">
      <c r="A20" s="4">
        <v>14</v>
      </c>
      <c r="B20" s="5">
        <v>207.24</v>
      </c>
      <c r="C20" s="6">
        <v>314</v>
      </c>
      <c r="D20" s="4">
        <v>28</v>
      </c>
      <c r="E20" s="4">
        <f t="shared" si="9"/>
        <v>65073.36</v>
      </c>
      <c r="F20" s="19">
        <f t="shared" si="10"/>
        <v>5802.72</v>
      </c>
      <c r="G20" s="4">
        <f t="shared" si="11"/>
        <v>98596</v>
      </c>
      <c r="H20" s="4">
        <f t="shared" si="0"/>
        <v>784</v>
      </c>
      <c r="I20" s="4">
        <f t="shared" si="1"/>
        <v>170.43339539609386</v>
      </c>
      <c r="J20" s="27">
        <f>'ДЗ-3'!$B$11+'ДЗ-3'!$B$10*'З-1. Данные'!D20</f>
        <v>202.02489817232359</v>
      </c>
      <c r="K20" s="4">
        <f t="shared" si="12"/>
        <v>3.8885392283243281</v>
      </c>
      <c r="L20" s="19">
        <f t="shared" si="13"/>
        <v>877.31862125114708</v>
      </c>
      <c r="M20" s="4">
        <f t="shared" si="2"/>
        <v>1213.4540017777776</v>
      </c>
      <c r="N20" s="19">
        <f t="shared" si="3"/>
        <v>10.239999999999927</v>
      </c>
      <c r="O20" s="19">
        <f t="shared" si="4"/>
        <v>21.777777777777789</v>
      </c>
      <c r="P20" s="19">
        <f t="shared" si="5"/>
        <v>1354.7261424682856</v>
      </c>
      <c r="Q20" s="27">
        <f t="shared" si="14"/>
        <v>27.197287073033941</v>
      </c>
      <c r="R20" s="19">
        <f t="shared" si="15"/>
        <v>-14.933333333333284</v>
      </c>
      <c r="S20" s="19">
        <f t="shared" si="16"/>
        <v>-111.47093333333292</v>
      </c>
      <c r="T20" s="19">
        <f t="shared" si="17"/>
        <v>162.56177777777779</v>
      </c>
      <c r="U20" s="19">
        <f t="shared" si="6"/>
        <v>192.80257728966302</v>
      </c>
      <c r="V20" s="19">
        <f t="shared" si="7"/>
        <v>208.43917451695424</v>
      </c>
      <c r="W20" s="19">
        <f t="shared" si="8"/>
        <v>416.04756101402745</v>
      </c>
    </row>
    <row r="21" spans="1:23" ht="15" thickBot="1" x14ac:dyDescent="0.35">
      <c r="A21" s="20">
        <v>15</v>
      </c>
      <c r="B21" s="21">
        <v>231.28</v>
      </c>
      <c r="C21" s="22">
        <v>392</v>
      </c>
      <c r="D21" s="20">
        <v>28</v>
      </c>
      <c r="E21" s="20">
        <f t="shared" si="9"/>
        <v>90661.759999999995</v>
      </c>
      <c r="F21" s="23">
        <f t="shared" si="10"/>
        <v>6475.84</v>
      </c>
      <c r="G21" s="20">
        <f t="shared" si="11"/>
        <v>153664</v>
      </c>
      <c r="H21" s="20">
        <f t="shared" si="0"/>
        <v>784</v>
      </c>
      <c r="I21" s="20">
        <f t="shared" si="1"/>
        <v>218.49938261630678</v>
      </c>
      <c r="J21" s="27">
        <f>'ДЗ-3'!$B$11+'ДЗ-3'!$B$10*'З-1. Данные'!D21</f>
        <v>202.02489817232359</v>
      </c>
      <c r="K21" s="20">
        <f t="shared" si="12"/>
        <v>2124.6613793011834</v>
      </c>
      <c r="L21" s="23">
        <f t="shared" si="13"/>
        <v>877.31862125114708</v>
      </c>
      <c r="M21" s="20">
        <f t="shared" si="2"/>
        <v>3466.22637511111</v>
      </c>
      <c r="N21" s="23">
        <f t="shared" si="3"/>
        <v>5595.0400000000018</v>
      </c>
      <c r="O21" s="23">
        <f t="shared" si="4"/>
        <v>21.777777777777789</v>
      </c>
      <c r="P21" s="23">
        <f t="shared" si="5"/>
        <v>163.34418070836148</v>
      </c>
      <c r="Q21" s="27">
        <f t="shared" si="14"/>
        <v>855.8609829477158</v>
      </c>
      <c r="R21" s="23">
        <f t="shared" si="15"/>
        <v>349.06666666666683</v>
      </c>
      <c r="S21" s="23">
        <f t="shared" si="16"/>
        <v>4403.8250666666663</v>
      </c>
      <c r="T21" s="23">
        <f t="shared" si="17"/>
        <v>274.74844444444449</v>
      </c>
      <c r="U21" s="23">
        <f t="shared" si="6"/>
        <v>216.42574999974545</v>
      </c>
      <c r="V21" s="23">
        <f t="shared" si="7"/>
        <v>220.64874307006238</v>
      </c>
      <c r="W21" s="23">
        <f t="shared" si="8"/>
        <v>1937.7970834845325</v>
      </c>
    </row>
    <row r="22" spans="1:23" x14ac:dyDescent="0.3">
      <c r="A22" s="7" t="s">
        <v>19</v>
      </c>
      <c r="B22" s="8">
        <f>SUM(B7:B21)</f>
        <v>2586.0800000000004</v>
      </c>
      <c r="C22" s="8">
        <f t="shared" ref="C22:F22" si="18">SUM(C7:C21)</f>
        <v>4758</v>
      </c>
      <c r="D22" s="8">
        <f t="shared" si="18"/>
        <v>350</v>
      </c>
      <c r="E22" s="8">
        <f t="shared" si="18"/>
        <v>833728.79</v>
      </c>
      <c r="F22" s="8">
        <f t="shared" si="18"/>
        <v>61962.479999999996</v>
      </c>
      <c r="G22" s="8">
        <f>SUM(G7:G21)</f>
        <v>1531022</v>
      </c>
      <c r="H22" s="8">
        <f>SUM(H7:H21)</f>
        <v>8422</v>
      </c>
      <c r="I22" s="8" t="s">
        <v>18</v>
      </c>
      <c r="J22" t="s">
        <v>18</v>
      </c>
      <c r="K22" s="8">
        <f>SUM(K7:K21)</f>
        <v>8272.4115200693323</v>
      </c>
      <c r="L22" s="8">
        <f>SUM(L7:L21)</f>
        <v>10286.113222628252</v>
      </c>
      <c r="M22" s="8">
        <f>SUM(M7:M21)</f>
        <v>13726.232973333334</v>
      </c>
      <c r="N22" s="8">
        <f t="shared" ref="N22" si="19">SUM(N7:N21)</f>
        <v>21784.400000000001</v>
      </c>
      <c r="O22" s="8">
        <f>SUM(O7:O21)</f>
        <v>255.3333333333334</v>
      </c>
      <c r="P22" s="8">
        <f t="shared" ref="P22:W22" si="20">SUM(P7:P21)</f>
        <v>5453.8214532641132</v>
      </c>
      <c r="Q22" s="8">
        <f t="shared" si="20"/>
        <v>3440.1197507049642</v>
      </c>
      <c r="R22" s="8">
        <f t="shared" si="20"/>
        <v>1490.9999999999995</v>
      </c>
      <c r="S22" s="8">
        <f t="shared" si="20"/>
        <v>13424.214</v>
      </c>
      <c r="T22" s="8">
        <f t="shared" si="20"/>
        <v>1620.6133333333332</v>
      </c>
      <c r="U22" s="8">
        <f t="shared" si="20"/>
        <v>2586.08</v>
      </c>
      <c r="V22" s="8">
        <f t="shared" si="20"/>
        <v>2240.5583505186128</v>
      </c>
      <c r="W22" s="8">
        <f t="shared" si="20"/>
        <v>11485.674622814729</v>
      </c>
    </row>
    <row r="23" spans="1:23" x14ac:dyDescent="0.3">
      <c r="A23" s="1" t="s">
        <v>14</v>
      </c>
      <c r="B23" s="1">
        <f t="shared" ref="B23:H23" si="21">AVERAGE(B7:B21)</f>
        <v>172.40533333333335</v>
      </c>
      <c r="C23" s="1">
        <f t="shared" si="21"/>
        <v>317.2</v>
      </c>
      <c r="D23" s="1">
        <f t="shared" si="21"/>
        <v>23.333333333333332</v>
      </c>
      <c r="E23" s="1">
        <f t="shared" si="21"/>
        <v>55581.919333333339</v>
      </c>
      <c r="F23" s="1">
        <f t="shared" si="21"/>
        <v>4130.8319999999994</v>
      </c>
      <c r="G23" s="1">
        <f t="shared" si="21"/>
        <v>102068.13333333333</v>
      </c>
      <c r="H23" s="1">
        <f t="shared" si="21"/>
        <v>561.4666666666667</v>
      </c>
      <c r="I23" t="s">
        <v>18</v>
      </c>
      <c r="J23" t="s">
        <v>18</v>
      </c>
      <c r="K23" s="1" t="s">
        <v>18</v>
      </c>
      <c r="L23" s="1" t="s">
        <v>18</v>
      </c>
      <c r="M23" s="1" t="s">
        <v>18</v>
      </c>
      <c r="N23" s="1" t="s">
        <v>18</v>
      </c>
      <c r="O23" s="1" t="s">
        <v>18</v>
      </c>
      <c r="P23" s="1" t="s">
        <v>18</v>
      </c>
      <c r="Q23" s="1"/>
    </row>
    <row r="26" spans="1:23" x14ac:dyDescent="0.3">
      <c r="A26" t="s">
        <v>214</v>
      </c>
    </row>
    <row r="27" spans="1:23" ht="15" thickBot="1" x14ac:dyDescent="0.35">
      <c r="A27" s="31" t="s">
        <v>9</v>
      </c>
      <c r="B27" s="31" t="s">
        <v>10</v>
      </c>
      <c r="C27" s="31" t="s">
        <v>15</v>
      </c>
      <c r="E27" s="31" t="s">
        <v>189</v>
      </c>
    </row>
    <row r="28" spans="1:23" x14ac:dyDescent="0.3">
      <c r="A28" t="s">
        <v>12</v>
      </c>
      <c r="B28">
        <f xml:space="preserve"> (E23 - B23*C23) / (G23-C23^2)</f>
        <v>0.61623060538734542</v>
      </c>
      <c r="C28" s="3" t="s">
        <v>145</v>
      </c>
      <c r="D28" t="s">
        <v>18</v>
      </c>
      <c r="E28" s="11"/>
      <c r="F28" s="11" t="s">
        <v>40</v>
      </c>
    </row>
    <row r="29" spans="1:23" x14ac:dyDescent="0.3">
      <c r="A29" t="s">
        <v>11</v>
      </c>
      <c r="B29">
        <f>B23-B28*C23</f>
        <v>-23.063014695532615</v>
      </c>
      <c r="C29" t="s">
        <v>16</v>
      </c>
      <c r="D29" t="s">
        <v>18</v>
      </c>
      <c r="E29" s="9" t="s">
        <v>11</v>
      </c>
      <c r="F29" s="9">
        <v>-30.49423448676977</v>
      </c>
    </row>
    <row r="30" spans="1:23" x14ac:dyDescent="0.3">
      <c r="A30" t="s">
        <v>17</v>
      </c>
      <c r="B30">
        <f>B28*C23/B23</f>
        <v>1.133772048982626</v>
      </c>
      <c r="C30" t="s">
        <v>146</v>
      </c>
      <c r="D30" t="s">
        <v>18</v>
      </c>
      <c r="E30" s="9" t="s">
        <v>12</v>
      </c>
      <c r="F30" s="9">
        <v>0.30286118859080036</v>
      </c>
    </row>
    <row r="31" spans="1:23" ht="15" thickBot="1" x14ac:dyDescent="0.35">
      <c r="A31" s="1" t="s">
        <v>114</v>
      </c>
      <c r="B31">
        <f>K22/M22</f>
        <v>0.60267165333275163</v>
      </c>
      <c r="C31" t="s">
        <v>21</v>
      </c>
      <c r="D31" t="s">
        <v>18</v>
      </c>
      <c r="E31" s="10" t="s">
        <v>190</v>
      </c>
      <c r="F31" s="10">
        <v>4.5785142342471961</v>
      </c>
    </row>
    <row r="32" spans="1:23" x14ac:dyDescent="0.3">
      <c r="A32" s="1" t="s">
        <v>20</v>
      </c>
      <c r="B32">
        <f>SQRT(B31)</f>
        <v>0.77631929857034443</v>
      </c>
      <c r="C32" t="s">
        <v>22</v>
      </c>
      <c r="D32" t="s">
        <v>18</v>
      </c>
    </row>
    <row r="35" spans="1:5" x14ac:dyDescent="0.3">
      <c r="A35" t="s">
        <v>215</v>
      </c>
    </row>
    <row r="36" spans="1:5" x14ac:dyDescent="0.3">
      <c r="A36" t="s">
        <v>9</v>
      </c>
      <c r="B36" t="s">
        <v>10</v>
      </c>
      <c r="C36" t="s">
        <v>15</v>
      </c>
    </row>
    <row r="37" spans="1:5" x14ac:dyDescent="0.3">
      <c r="A37" t="s">
        <v>90</v>
      </c>
      <c r="B37">
        <v>5.9239129677980493</v>
      </c>
      <c r="C37" t="s">
        <v>133</v>
      </c>
      <c r="D37" t="s">
        <v>18</v>
      </c>
    </row>
    <row r="38" spans="1:5" x14ac:dyDescent="0.3">
      <c r="A38" t="s">
        <v>11</v>
      </c>
      <c r="B38">
        <v>34.180697418045526</v>
      </c>
      <c r="C38" t="s">
        <v>123</v>
      </c>
      <c r="D38" t="s">
        <v>18</v>
      </c>
      <c r="E38" t="s">
        <v>219</v>
      </c>
    </row>
    <row r="39" spans="1:5" x14ac:dyDescent="0.3">
      <c r="A39" t="s">
        <v>17</v>
      </c>
      <c r="B39">
        <v>0.80174222712728038</v>
      </c>
      <c r="C39" t="s">
        <v>124</v>
      </c>
      <c r="D39" t="s">
        <v>18</v>
      </c>
    </row>
    <row r="40" spans="1:5" x14ac:dyDescent="0.3">
      <c r="A40" t="s">
        <v>114</v>
      </c>
      <c r="B40">
        <v>0.65278999240258562</v>
      </c>
      <c r="C40" t="s">
        <v>130</v>
      </c>
      <c r="D40" t="s">
        <v>18</v>
      </c>
    </row>
    <row r="41" spans="1:5" x14ac:dyDescent="0.3">
      <c r="A41" t="s">
        <v>115</v>
      </c>
      <c r="B41">
        <v>0.80795420192148615</v>
      </c>
      <c r="C41" t="s">
        <v>22</v>
      </c>
      <c r="D41" t="s">
        <v>18</v>
      </c>
    </row>
  </sheetData>
  <mergeCells count="2">
    <mergeCell ref="E5:T5"/>
    <mergeCell ref="U5:W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8D59A-5220-49AC-A7E6-92277CA95EA0}">
  <sheetPr codeName="Лист2">
    <tabColor theme="5" tint="0.79998168889431442"/>
  </sheetPr>
  <dimension ref="A1:J112"/>
  <sheetViews>
    <sheetView topLeftCell="A40" zoomScale="79" workbookViewId="0">
      <selection activeCell="C19" sqref="C19"/>
    </sheetView>
  </sheetViews>
  <sheetFormatPr defaultRowHeight="14.4" x14ac:dyDescent="0.3"/>
  <cols>
    <col min="1" max="1" width="37.33203125" bestFit="1" customWidth="1"/>
    <col min="2" max="2" width="40.44140625" bestFit="1" customWidth="1"/>
    <col min="3" max="3" width="21" bestFit="1" customWidth="1"/>
    <col min="4" max="4" width="22.6640625" bestFit="1" customWidth="1"/>
    <col min="5" max="5" width="12" bestFit="1" customWidth="1"/>
    <col min="6" max="6" width="13.5546875" bestFit="1" customWidth="1"/>
    <col min="7" max="7" width="12.5546875" bestFit="1" customWidth="1"/>
    <col min="8" max="8" width="13.88671875" bestFit="1" customWidth="1"/>
    <col min="9" max="9" width="14.109375" bestFit="1" customWidth="1"/>
  </cols>
  <sheetData>
    <row r="1" spans="1:3" x14ac:dyDescent="0.3">
      <c r="A1" s="31" t="s">
        <v>63</v>
      </c>
      <c r="B1" s="31" t="s">
        <v>67</v>
      </c>
    </row>
    <row r="2" spans="1:3" x14ac:dyDescent="0.3">
      <c r="A2" t="s">
        <v>64</v>
      </c>
      <c r="B2">
        <f>'З-1. Данные'!B23</f>
        <v>172.40533333333335</v>
      </c>
    </row>
    <row r="3" spans="1:3" x14ac:dyDescent="0.3">
      <c r="A3" t="s">
        <v>65</v>
      </c>
      <c r="B3">
        <f>'З-1. Данные'!C23</f>
        <v>317.2</v>
      </c>
    </row>
    <row r="4" spans="1:3" x14ac:dyDescent="0.3">
      <c r="A4" t="s">
        <v>66</v>
      </c>
      <c r="B4">
        <f>'З-1. Данные'!D23</f>
        <v>23.333333333333332</v>
      </c>
    </row>
    <row r="5" spans="1:3" x14ac:dyDescent="0.3">
      <c r="A5" t="s">
        <v>73</v>
      </c>
      <c r="B5">
        <f>'З-1. Данные'!M22/(B20-1)</f>
        <v>980.4452123809524</v>
      </c>
    </row>
    <row r="6" spans="1:3" x14ac:dyDescent="0.3">
      <c r="A6" t="s">
        <v>71</v>
      </c>
      <c r="B6">
        <f>'З-1. Данные'!N22/(B20-1)</f>
        <v>1556.0285714285715</v>
      </c>
    </row>
    <row r="7" spans="1:3" x14ac:dyDescent="0.3">
      <c r="A7" t="s">
        <v>72</v>
      </c>
      <c r="B7">
        <f>'З-1. Данные'!O22/(B20-1)</f>
        <v>18.238095238095244</v>
      </c>
    </row>
    <row r="8" spans="1:3" x14ac:dyDescent="0.3">
      <c r="A8" t="s">
        <v>70</v>
      </c>
      <c r="B8">
        <f>SQRT(B5)</f>
        <v>31.31206177147957</v>
      </c>
    </row>
    <row r="9" spans="1:3" x14ac:dyDescent="0.3">
      <c r="A9" t="s">
        <v>69</v>
      </c>
      <c r="B9">
        <f t="shared" ref="B9:B10" si="0">SQRT(B6)</f>
        <v>39.446528002202825</v>
      </c>
    </row>
    <row r="10" spans="1:3" x14ac:dyDescent="0.3">
      <c r="A10" t="s">
        <v>68</v>
      </c>
      <c r="B10">
        <f t="shared" si="0"/>
        <v>4.270608298368658</v>
      </c>
    </row>
    <row r="13" spans="1:3" x14ac:dyDescent="0.3">
      <c r="A13" t="s">
        <v>23</v>
      </c>
    </row>
    <row r="14" spans="1:3" ht="15" thickBot="1" x14ac:dyDescent="0.35"/>
    <row r="15" spans="1:3" x14ac:dyDescent="0.3">
      <c r="A15" s="12" t="s">
        <v>24</v>
      </c>
      <c r="B15" s="12"/>
      <c r="C15" s="31" t="s">
        <v>56</v>
      </c>
    </row>
    <row r="16" spans="1:3" x14ac:dyDescent="0.3">
      <c r="A16" s="9" t="s">
        <v>25</v>
      </c>
      <c r="B16" s="9">
        <v>0.91475032316676297</v>
      </c>
      <c r="C16" t="s">
        <v>52</v>
      </c>
    </row>
    <row r="17" spans="1:10" x14ac:dyDescent="0.3">
      <c r="A17" s="9" t="s">
        <v>26</v>
      </c>
      <c r="B17" s="9">
        <v>0.83676815373369662</v>
      </c>
      <c r="C17" t="s">
        <v>53</v>
      </c>
    </row>
    <row r="18" spans="1:10" x14ac:dyDescent="0.3">
      <c r="A18" s="9" t="s">
        <v>27</v>
      </c>
      <c r="B18" s="9">
        <v>0.80956284602264594</v>
      </c>
      <c r="C18" t="s">
        <v>54</v>
      </c>
    </row>
    <row r="19" spans="1:10" x14ac:dyDescent="0.3">
      <c r="A19" s="9" t="s">
        <v>28</v>
      </c>
      <c r="B19" s="9">
        <v>13.664303709905999</v>
      </c>
      <c r="C19" t="s">
        <v>55</v>
      </c>
    </row>
    <row r="20" spans="1:10" ht="15" thickBot="1" x14ac:dyDescent="0.35">
      <c r="A20" s="10" t="s">
        <v>29</v>
      </c>
      <c r="B20" s="10">
        <v>15</v>
      </c>
    </row>
    <row r="22" spans="1:10" ht="15" thickBot="1" x14ac:dyDescent="0.35">
      <c r="A22" t="s">
        <v>30</v>
      </c>
    </row>
    <row r="23" spans="1:10" x14ac:dyDescent="0.3">
      <c r="A23" s="11"/>
      <c r="B23" s="11" t="s">
        <v>35</v>
      </c>
      <c r="C23" s="11" t="s">
        <v>36</v>
      </c>
      <c r="D23" s="11" t="s">
        <v>37</v>
      </c>
      <c r="E23" s="11" t="s">
        <v>38</v>
      </c>
      <c r="F23" s="11" t="s">
        <v>39</v>
      </c>
      <c r="G23" s="32" t="s">
        <v>56</v>
      </c>
    </row>
    <row r="24" spans="1:10" x14ac:dyDescent="0.3">
      <c r="A24" s="9" t="s">
        <v>31</v>
      </c>
      <c r="B24" s="9">
        <v>2</v>
      </c>
      <c r="C24" s="9">
        <v>11485.674622814722</v>
      </c>
      <c r="D24" s="9">
        <v>5742.8373114073611</v>
      </c>
      <c r="E24" s="9">
        <v>30.757533148349879</v>
      </c>
      <c r="F24" s="9">
        <v>1.8916002248434074E-5</v>
      </c>
      <c r="G24" t="s">
        <v>57</v>
      </c>
    </row>
    <row r="25" spans="1:10" x14ac:dyDescent="0.3">
      <c r="A25" s="9" t="s">
        <v>32</v>
      </c>
      <c r="B25" s="9">
        <v>12</v>
      </c>
      <c r="C25" s="9">
        <v>2240.5583505186119</v>
      </c>
      <c r="D25" s="9">
        <v>186.713195876551</v>
      </c>
      <c r="E25" s="9"/>
      <c r="F25" s="9"/>
    </row>
    <row r="26" spans="1:10" ht="15" thickBot="1" x14ac:dyDescent="0.35">
      <c r="A26" s="10" t="s">
        <v>33</v>
      </c>
      <c r="B26" s="10">
        <v>14</v>
      </c>
      <c r="C26" s="10">
        <v>13726.232973333334</v>
      </c>
      <c r="D26" s="10"/>
      <c r="E26" s="10"/>
      <c r="F26" s="10"/>
    </row>
    <row r="27" spans="1:10" ht="15" thickBot="1" x14ac:dyDescent="0.35"/>
    <row r="28" spans="1:10" x14ac:dyDescent="0.3">
      <c r="A28" s="11"/>
      <c r="B28" s="11" t="s">
        <v>40</v>
      </c>
      <c r="C28" s="11" t="s">
        <v>28</v>
      </c>
      <c r="D28" s="11" t="s">
        <v>41</v>
      </c>
      <c r="E28" s="11" t="s">
        <v>42</v>
      </c>
      <c r="F28" s="11" t="s">
        <v>43</v>
      </c>
      <c r="G28" s="11" t="s">
        <v>44</v>
      </c>
      <c r="H28" s="11" t="s">
        <v>45</v>
      </c>
      <c r="I28" s="11" t="s">
        <v>46</v>
      </c>
      <c r="J28" s="32" t="s">
        <v>56</v>
      </c>
    </row>
    <row r="29" spans="1:10" x14ac:dyDescent="0.3">
      <c r="A29" s="9" t="s">
        <v>34</v>
      </c>
      <c r="B29" s="9">
        <v>-30.49423448676977</v>
      </c>
      <c r="C29" s="9">
        <v>29.631581407681004</v>
      </c>
      <c r="D29" s="9">
        <v>-1.0291126236976724</v>
      </c>
      <c r="E29" s="9">
        <v>0.32372389380510247</v>
      </c>
      <c r="F29" s="9">
        <v>-95.055904221154051</v>
      </c>
      <c r="G29" s="9">
        <v>34.067435247614512</v>
      </c>
      <c r="H29" s="9">
        <v>-95.055904221154051</v>
      </c>
      <c r="I29" s="9">
        <v>34.067435247614512</v>
      </c>
      <c r="J29" t="s">
        <v>58</v>
      </c>
    </row>
    <row r="30" spans="1:10" x14ac:dyDescent="0.3">
      <c r="A30" s="9" t="s">
        <v>13</v>
      </c>
      <c r="B30" s="9">
        <v>0.30286118859080036</v>
      </c>
      <c r="C30" s="9">
        <v>0.11948678820771946</v>
      </c>
      <c r="D30" s="9">
        <v>2.5346834837027945</v>
      </c>
      <c r="E30" s="9">
        <v>2.6193004737987802E-2</v>
      </c>
      <c r="F30" s="9">
        <v>4.2521841468090293E-2</v>
      </c>
      <c r="G30" s="9">
        <v>0.56320053571351036</v>
      </c>
      <c r="H30" s="9">
        <v>4.2521841468090293E-2</v>
      </c>
      <c r="I30" s="9">
        <v>0.56320053571351036</v>
      </c>
      <c r="J30" t="s">
        <v>59</v>
      </c>
    </row>
    <row r="31" spans="1:10" ht="15" thickBot="1" x14ac:dyDescent="0.35">
      <c r="A31" s="10" t="s">
        <v>5</v>
      </c>
      <c r="B31" s="10">
        <v>4.5785142342471961</v>
      </c>
      <c r="C31" s="10">
        <v>1.1036692217194324</v>
      </c>
      <c r="D31" s="10">
        <v>4.1484478720120697</v>
      </c>
      <c r="E31" s="10">
        <v>1.3503187750081081E-3</v>
      </c>
      <c r="F31" s="10">
        <v>2.1738255742560519</v>
      </c>
      <c r="G31" s="10">
        <v>6.9832028942383406</v>
      </c>
      <c r="H31" s="10">
        <v>2.1738255742560519</v>
      </c>
      <c r="I31" s="10">
        <v>6.9832028942383406</v>
      </c>
      <c r="J31" t="s">
        <v>60</v>
      </c>
    </row>
    <row r="35" spans="1:6" x14ac:dyDescent="0.3">
      <c r="A35" t="s">
        <v>47</v>
      </c>
    </row>
    <row r="36" spans="1:6" ht="15" thickBot="1" x14ac:dyDescent="0.35"/>
    <row r="37" spans="1:6" x14ac:dyDescent="0.3">
      <c r="A37" s="11" t="s">
        <v>48</v>
      </c>
      <c r="B37" s="11" t="s">
        <v>51</v>
      </c>
      <c r="C37" s="11" t="s">
        <v>49</v>
      </c>
      <c r="D37" s="11" t="s">
        <v>50</v>
      </c>
    </row>
    <row r="38" spans="1:6" x14ac:dyDescent="0.3">
      <c r="A38" s="9">
        <v>1</v>
      </c>
      <c r="B38" s="9">
        <v>112.99019260886585</v>
      </c>
      <c r="C38" s="9">
        <v>5.5698073911341481</v>
      </c>
      <c r="D38" s="9">
        <v>0.44027706800076</v>
      </c>
      <c r="F38">
        <f>C38^2</f>
        <v>31.022754374332585</v>
      </c>
    </row>
    <row r="39" spans="1:6" x14ac:dyDescent="0.3">
      <c r="A39" s="9">
        <v>2</v>
      </c>
      <c r="B39" s="9">
        <v>137.93159928946704</v>
      </c>
      <c r="C39" s="9">
        <v>-12.971599289467051</v>
      </c>
      <c r="D39" s="9">
        <v>-1.0253671808361011</v>
      </c>
      <c r="F39">
        <f t="shared" ref="F39:F52" si="1">C39^2</f>
        <v>168.26238812650209</v>
      </c>
    </row>
    <row r="40" spans="1:6" x14ac:dyDescent="0.3">
      <c r="A40" s="9">
        <v>3</v>
      </c>
      <c r="B40" s="9">
        <v>130.05720838610625</v>
      </c>
      <c r="C40" s="9">
        <v>4.1027916138937428</v>
      </c>
      <c r="D40" s="9">
        <v>0.32431373933299074</v>
      </c>
      <c r="F40">
        <f t="shared" si="1"/>
        <v>16.832899027036824</v>
      </c>
    </row>
    <row r="41" spans="1:6" x14ac:dyDescent="0.3">
      <c r="A41" s="9">
        <v>4</v>
      </c>
      <c r="B41" s="9">
        <v>154.32169987875545</v>
      </c>
      <c r="C41" s="9">
        <v>0.71830012124453901</v>
      </c>
      <c r="D41" s="9">
        <v>5.6779534572332847E-2</v>
      </c>
      <c r="F41">
        <f t="shared" si="1"/>
        <v>0.51595506417991943</v>
      </c>
    </row>
    <row r="42" spans="1:6" x14ac:dyDescent="0.3">
      <c r="A42" s="9">
        <v>5</v>
      </c>
      <c r="B42" s="9">
        <v>185.19545116950783</v>
      </c>
      <c r="C42" s="9">
        <v>-24.075451169507829</v>
      </c>
      <c r="D42" s="9">
        <v>-1.9030943634745681</v>
      </c>
      <c r="F42">
        <f t="shared" si="1"/>
        <v>579.62734901535589</v>
      </c>
    </row>
    <row r="43" spans="1:6" x14ac:dyDescent="0.3">
      <c r="A43" s="9">
        <v>6</v>
      </c>
      <c r="B43" s="9">
        <v>172.29729922176827</v>
      </c>
      <c r="C43" s="9">
        <v>-7.1672992217682747</v>
      </c>
      <c r="D43" s="9">
        <v>-0.56655414904782042</v>
      </c>
      <c r="F43">
        <f t="shared" si="1"/>
        <v>51.370178134360117</v>
      </c>
    </row>
    <row r="44" spans="1:6" x14ac:dyDescent="0.3">
      <c r="A44" s="9">
        <v>7</v>
      </c>
      <c r="B44" s="9">
        <v>177.78439702178787</v>
      </c>
      <c r="C44" s="9">
        <v>-7.7843970217878677</v>
      </c>
      <c r="D44" s="9">
        <v>-0.6153339345920783</v>
      </c>
      <c r="F44">
        <f t="shared" si="1"/>
        <v>60.596836992819824</v>
      </c>
    </row>
    <row r="45" spans="1:6" x14ac:dyDescent="0.3">
      <c r="A45" s="9">
        <v>8</v>
      </c>
      <c r="B45" s="9">
        <v>172.06563084394784</v>
      </c>
      <c r="C45" s="9">
        <v>2.3543691560521438</v>
      </c>
      <c r="D45" s="9">
        <v>0.18610603136260201</v>
      </c>
      <c r="F45">
        <f t="shared" si="1"/>
        <v>5.5430541229696839</v>
      </c>
    </row>
    <row r="46" spans="1:6" x14ac:dyDescent="0.3">
      <c r="A46" s="9">
        <v>9</v>
      </c>
      <c r="B46" s="9">
        <v>167.21985182649505</v>
      </c>
      <c r="C46" s="9">
        <v>8.2301481735049435</v>
      </c>
      <c r="D46" s="9">
        <v>0.65056926614920674</v>
      </c>
      <c r="F46">
        <f t="shared" si="1"/>
        <v>67.735338957846764</v>
      </c>
    </row>
    <row r="47" spans="1:6" x14ac:dyDescent="0.3">
      <c r="A47" s="9">
        <v>10</v>
      </c>
      <c r="B47" s="9">
        <v>198.52134346750304</v>
      </c>
      <c r="C47" s="9">
        <v>-21.041343467503054</v>
      </c>
      <c r="D47" s="9">
        <v>-1.6632569778652291</v>
      </c>
      <c r="F47">
        <f t="shared" si="1"/>
        <v>442.73813491743346</v>
      </c>
    </row>
    <row r="48" spans="1:6" x14ac:dyDescent="0.3">
      <c r="A48" s="9">
        <v>11</v>
      </c>
      <c r="B48" s="9">
        <v>177.14307823922107</v>
      </c>
      <c r="C48" s="9">
        <v>13.476921760778936</v>
      </c>
      <c r="D48" s="9">
        <v>1.0653114518746716</v>
      </c>
      <c r="F48">
        <f t="shared" si="1"/>
        <v>181.62742014615682</v>
      </c>
    </row>
    <row r="49" spans="1:7" x14ac:dyDescent="0.3">
      <c r="A49" s="9">
        <v>12</v>
      </c>
      <c r="B49" s="9">
        <v>183.68114522655384</v>
      </c>
      <c r="C49" s="9">
        <v>13.658854773446166</v>
      </c>
      <c r="D49" s="9">
        <v>1.0796927271620675</v>
      </c>
      <c r="F49">
        <f t="shared" si="1"/>
        <v>186.56431372209312</v>
      </c>
    </row>
    <row r="50" spans="1:7" x14ac:dyDescent="0.3">
      <c r="A50" s="9">
        <v>13</v>
      </c>
      <c r="B50" s="9">
        <v>207.64277553061225</v>
      </c>
      <c r="C50" s="9">
        <v>-4.3627755306122538</v>
      </c>
      <c r="D50" s="9">
        <v>-0.34486471148373005</v>
      </c>
      <c r="F50">
        <f t="shared" si="1"/>
        <v>19.033810330509031</v>
      </c>
    </row>
    <row r="51" spans="1:7" x14ac:dyDescent="0.3">
      <c r="A51" s="9">
        <v>14</v>
      </c>
      <c r="B51" s="9">
        <v>192.80257728966302</v>
      </c>
      <c r="C51" s="9">
        <v>14.437422710336989</v>
      </c>
      <c r="D51" s="9">
        <v>1.1412362572021419</v>
      </c>
      <c r="F51">
        <f t="shared" si="1"/>
        <v>208.43917451695424</v>
      </c>
    </row>
    <row r="52" spans="1:7" ht="15" thickBot="1" x14ac:dyDescent="0.35">
      <c r="A52" s="10">
        <v>15</v>
      </c>
      <c r="B52" s="10">
        <v>216.42574999974545</v>
      </c>
      <c r="C52" s="10">
        <v>14.854250000254552</v>
      </c>
      <c r="D52" s="10">
        <v>1.1741852416427401</v>
      </c>
      <c r="F52">
        <f t="shared" si="1"/>
        <v>220.64874307006238</v>
      </c>
    </row>
    <row r="53" spans="1:7" x14ac:dyDescent="0.3">
      <c r="F53">
        <f>SUM(F38:F52)</f>
        <v>2240.5583505186128</v>
      </c>
      <c r="G53">
        <f>SQRT(F53/12)</f>
        <v>13.664303709906006</v>
      </c>
    </row>
    <row r="56" spans="1:7" x14ac:dyDescent="0.3">
      <c r="A56" s="31" t="s">
        <v>9</v>
      </c>
      <c r="B56" s="31" t="s">
        <v>67</v>
      </c>
      <c r="C56" s="31" t="s">
        <v>15</v>
      </c>
    </row>
    <row r="57" spans="1:7" x14ac:dyDescent="0.3">
      <c r="A57" t="s">
        <v>74</v>
      </c>
      <c r="B57" s="13" t="s">
        <v>75</v>
      </c>
      <c r="C57" t="s">
        <v>134</v>
      </c>
      <c r="D57" t="s">
        <v>87</v>
      </c>
      <c r="E57" t="s">
        <v>18</v>
      </c>
    </row>
    <row r="58" spans="1:7" x14ac:dyDescent="0.3">
      <c r="A58" t="s">
        <v>61</v>
      </c>
      <c r="B58">
        <f>B30*B3/B2</f>
        <v>0.55721924121257971</v>
      </c>
      <c r="C58" t="s">
        <v>79</v>
      </c>
      <c r="D58" t="s">
        <v>18</v>
      </c>
    </row>
    <row r="59" spans="1:7" x14ac:dyDescent="0.3">
      <c r="A59" t="s">
        <v>62</v>
      </c>
      <c r="B59">
        <f>B31*B4/B2</f>
        <v>0.61965599748906397</v>
      </c>
      <c r="C59" t="s">
        <v>80</v>
      </c>
      <c r="D59" t="s">
        <v>18</v>
      </c>
    </row>
    <row r="60" spans="1:7" x14ac:dyDescent="0.3">
      <c r="A60" s="2" t="s">
        <v>83</v>
      </c>
      <c r="B60">
        <f>B30*B9/B8</f>
        <v>0.38154058470238261</v>
      </c>
      <c r="C60" t="s">
        <v>85</v>
      </c>
      <c r="D60" t="s">
        <v>18</v>
      </c>
    </row>
    <row r="61" spans="1:7" x14ac:dyDescent="0.3">
      <c r="A61" t="s">
        <v>84</v>
      </c>
      <c r="B61">
        <f>B31*B10/B8</f>
        <v>0.62445715091124676</v>
      </c>
      <c r="C61" t="s">
        <v>86</v>
      </c>
      <c r="D61" t="s">
        <v>18</v>
      </c>
    </row>
    <row r="62" spans="1:7" x14ac:dyDescent="0.3">
      <c r="A62" t="s">
        <v>77</v>
      </c>
      <c r="B62">
        <f>B29+B30*300+B31*20</f>
        <v>151.93440677541423</v>
      </c>
      <c r="C62" t="s">
        <v>18</v>
      </c>
      <c r="D62" t="s">
        <v>18</v>
      </c>
    </row>
    <row r="63" spans="1:7" ht="15" x14ac:dyDescent="0.3">
      <c r="A63" t="s">
        <v>76</v>
      </c>
      <c r="B63">
        <f>B30*300/B62</f>
        <v>0.59801040794890348</v>
      </c>
      <c r="C63" t="s">
        <v>82</v>
      </c>
      <c r="D63" t="s">
        <v>18</v>
      </c>
    </row>
    <row r="64" spans="1:7" x14ac:dyDescent="0.3">
      <c r="A64" t="s">
        <v>78</v>
      </c>
      <c r="B64">
        <f>B31*20/B62</f>
        <v>0.60269616756592137</v>
      </c>
      <c r="C64" t="s">
        <v>81</v>
      </c>
      <c r="D64" t="s">
        <v>18</v>
      </c>
    </row>
    <row r="73" spans="1:2" x14ac:dyDescent="0.3">
      <c r="A73" t="s">
        <v>23</v>
      </c>
    </row>
    <row r="74" spans="1:2" ht="15" thickBot="1" x14ac:dyDescent="0.35"/>
    <row r="75" spans="1:2" x14ac:dyDescent="0.3">
      <c r="A75" s="12" t="s">
        <v>24</v>
      </c>
      <c r="B75" s="12"/>
    </row>
    <row r="76" spans="1:2" x14ac:dyDescent="0.3">
      <c r="A76" s="9" t="s">
        <v>25</v>
      </c>
      <c r="B76" s="9">
        <v>0.91475032316676264</v>
      </c>
    </row>
    <row r="77" spans="1:2" x14ac:dyDescent="0.3">
      <c r="A77" s="9" t="s">
        <v>26</v>
      </c>
      <c r="B77" s="9">
        <v>0.83676815373369662</v>
      </c>
    </row>
    <row r="78" spans="1:2" x14ac:dyDescent="0.3">
      <c r="A78" s="9" t="s">
        <v>27</v>
      </c>
      <c r="B78" s="9">
        <v>0.80956284602264594</v>
      </c>
    </row>
    <row r="79" spans="1:2" x14ac:dyDescent="0.3">
      <c r="A79" s="9" t="s">
        <v>28</v>
      </c>
      <c r="B79" s="9">
        <v>13.664303709906005</v>
      </c>
    </row>
    <row r="80" spans="1:2" ht="15" thickBot="1" x14ac:dyDescent="0.35">
      <c r="A80" s="10" t="s">
        <v>29</v>
      </c>
      <c r="B80" s="10">
        <v>15</v>
      </c>
    </row>
    <row r="82" spans="1:9" ht="15" thickBot="1" x14ac:dyDescent="0.35">
      <c r="A82" t="s">
        <v>30</v>
      </c>
    </row>
    <row r="83" spans="1:9" x14ac:dyDescent="0.3">
      <c r="A83" s="11"/>
      <c r="B83" s="11" t="s">
        <v>35</v>
      </c>
      <c r="C83" s="11" t="s">
        <v>36</v>
      </c>
      <c r="D83" s="11" t="s">
        <v>37</v>
      </c>
      <c r="E83" s="11" t="s">
        <v>38</v>
      </c>
      <c r="F83" s="11" t="s">
        <v>39</v>
      </c>
    </row>
    <row r="84" spans="1:9" x14ac:dyDescent="0.3">
      <c r="A84" s="9" t="s">
        <v>31</v>
      </c>
      <c r="B84" s="9">
        <v>2</v>
      </c>
      <c r="C84" s="9">
        <v>11485.674622814722</v>
      </c>
      <c r="D84" s="9">
        <v>5742.8373114073611</v>
      </c>
      <c r="E84" s="9">
        <v>30.757533148349879</v>
      </c>
      <c r="F84" s="9">
        <v>1.8916002248434074E-5</v>
      </c>
    </row>
    <row r="85" spans="1:9" x14ac:dyDescent="0.3">
      <c r="A85" s="9" t="s">
        <v>32</v>
      </c>
      <c r="B85" s="9">
        <v>12</v>
      </c>
      <c r="C85" s="9">
        <v>2240.5583505186119</v>
      </c>
      <c r="D85" s="9">
        <v>186.713195876551</v>
      </c>
      <c r="E85" s="9"/>
      <c r="F85" s="9"/>
    </row>
    <row r="86" spans="1:9" ht="15" thickBot="1" x14ac:dyDescent="0.35">
      <c r="A86" s="10" t="s">
        <v>33</v>
      </c>
      <c r="B86" s="10">
        <v>14</v>
      </c>
      <c r="C86" s="10">
        <v>13726.232973333334</v>
      </c>
      <c r="D86" s="10"/>
      <c r="E86" s="10"/>
      <c r="F86" s="10"/>
    </row>
    <row r="87" spans="1:9" ht="15" thickBot="1" x14ac:dyDescent="0.35"/>
    <row r="88" spans="1:9" x14ac:dyDescent="0.3">
      <c r="A88" s="11"/>
      <c r="B88" s="11" t="s">
        <v>40</v>
      </c>
      <c r="C88" s="11" t="s">
        <v>28</v>
      </c>
      <c r="D88" s="11" t="s">
        <v>41</v>
      </c>
      <c r="E88" s="11" t="s">
        <v>42</v>
      </c>
      <c r="F88" s="11" t="s">
        <v>43</v>
      </c>
      <c r="G88" s="11" t="s">
        <v>44</v>
      </c>
      <c r="H88" s="11" t="s">
        <v>45</v>
      </c>
      <c r="I88" s="11" t="s">
        <v>46</v>
      </c>
    </row>
    <row r="89" spans="1:9" x14ac:dyDescent="0.3">
      <c r="A89" s="9" t="s">
        <v>34</v>
      </c>
      <c r="B89" s="9">
        <v>-30.49423448676977</v>
      </c>
      <c r="C89" s="9">
        <v>29.631581407681004</v>
      </c>
      <c r="D89" s="9">
        <v>-1.0291126236976724</v>
      </c>
      <c r="E89" s="9">
        <v>0.32372389380510247</v>
      </c>
      <c r="F89" s="9">
        <v>-95.055904221154051</v>
      </c>
      <c r="G89" s="9">
        <v>34.067435247614512</v>
      </c>
      <c r="H89" s="9">
        <v>-95.055904221154051</v>
      </c>
      <c r="I89" s="9">
        <v>34.067435247614512</v>
      </c>
    </row>
    <row r="90" spans="1:9" x14ac:dyDescent="0.3">
      <c r="A90" s="9" t="s">
        <v>160</v>
      </c>
      <c r="B90" s="9">
        <v>0.30286118859080036</v>
      </c>
      <c r="C90" s="9">
        <v>0.11948678820771946</v>
      </c>
      <c r="D90" s="9">
        <v>2.5346834837027945</v>
      </c>
      <c r="E90" s="9">
        <v>2.6193004737987823E-2</v>
      </c>
      <c r="F90" s="9">
        <v>4.2521841468090293E-2</v>
      </c>
      <c r="G90" s="9">
        <v>0.56320053571351036</v>
      </c>
      <c r="H90" s="9">
        <v>4.2521841468090293E-2</v>
      </c>
      <c r="I90" s="9">
        <v>0.56320053571351036</v>
      </c>
    </row>
    <row r="91" spans="1:9" ht="15" thickBot="1" x14ac:dyDescent="0.35">
      <c r="A91" s="10" t="s">
        <v>163</v>
      </c>
      <c r="B91" s="10">
        <v>4.5785142342471961</v>
      </c>
      <c r="C91" s="10">
        <v>1.1036692217194324</v>
      </c>
      <c r="D91" s="10">
        <v>4.1484478720120697</v>
      </c>
      <c r="E91" s="10">
        <v>1.3503187750081081E-3</v>
      </c>
      <c r="F91" s="10">
        <v>2.1738255742560519</v>
      </c>
      <c r="G91" s="10">
        <v>6.9832028942383406</v>
      </c>
      <c r="H91" s="10">
        <v>2.1738255742560519</v>
      </c>
      <c r="I91" s="10">
        <v>6.9832028942383406</v>
      </c>
    </row>
    <row r="95" spans="1:9" x14ac:dyDescent="0.3">
      <c r="A95" t="s">
        <v>47</v>
      </c>
    </row>
    <row r="97" spans="1:3" x14ac:dyDescent="0.3">
      <c r="A97" t="s">
        <v>48</v>
      </c>
      <c r="B97" t="s">
        <v>164</v>
      </c>
      <c r="C97" t="s">
        <v>49</v>
      </c>
    </row>
    <row r="98" spans="1:3" x14ac:dyDescent="0.3">
      <c r="A98">
        <v>1</v>
      </c>
      <c r="B98">
        <v>112.99019260886585</v>
      </c>
      <c r="C98">
        <v>5.5698073911341481</v>
      </c>
    </row>
    <row r="99" spans="1:3" x14ac:dyDescent="0.3">
      <c r="A99">
        <v>2</v>
      </c>
      <c r="B99">
        <v>137.93159928946704</v>
      </c>
      <c r="C99">
        <v>-12.971599289467051</v>
      </c>
    </row>
    <row r="100" spans="1:3" x14ac:dyDescent="0.3">
      <c r="A100">
        <v>3</v>
      </c>
      <c r="B100">
        <v>130.05720838610625</v>
      </c>
      <c r="C100">
        <v>4.1027916138937428</v>
      </c>
    </row>
    <row r="101" spans="1:3" x14ac:dyDescent="0.3">
      <c r="A101">
        <v>4</v>
      </c>
      <c r="B101">
        <v>154.32169987875545</v>
      </c>
      <c r="C101">
        <v>0.71830012124453901</v>
      </c>
    </row>
    <row r="102" spans="1:3" x14ac:dyDescent="0.3">
      <c r="A102">
        <v>5</v>
      </c>
      <c r="B102">
        <v>185.19545116950783</v>
      </c>
      <c r="C102">
        <v>-24.075451169507829</v>
      </c>
    </row>
    <row r="103" spans="1:3" x14ac:dyDescent="0.3">
      <c r="A103">
        <v>6</v>
      </c>
      <c r="B103">
        <v>172.29729922176827</v>
      </c>
      <c r="C103">
        <v>-7.1672992217682747</v>
      </c>
    </row>
    <row r="104" spans="1:3" x14ac:dyDescent="0.3">
      <c r="A104">
        <v>7</v>
      </c>
      <c r="B104">
        <v>177.78439702178787</v>
      </c>
      <c r="C104">
        <v>-7.7843970217878677</v>
      </c>
    </row>
    <row r="105" spans="1:3" x14ac:dyDescent="0.3">
      <c r="A105">
        <v>8</v>
      </c>
      <c r="B105">
        <v>172.06563084394784</v>
      </c>
      <c r="C105">
        <v>2.3543691560521438</v>
      </c>
    </row>
    <row r="106" spans="1:3" x14ac:dyDescent="0.3">
      <c r="A106">
        <v>9</v>
      </c>
      <c r="B106">
        <v>167.21985182649505</v>
      </c>
      <c r="C106">
        <v>8.2301481735049435</v>
      </c>
    </row>
    <row r="107" spans="1:3" x14ac:dyDescent="0.3">
      <c r="A107">
        <v>10</v>
      </c>
      <c r="B107">
        <v>198.52134346750304</v>
      </c>
      <c r="C107">
        <v>-21.041343467503054</v>
      </c>
    </row>
    <row r="108" spans="1:3" x14ac:dyDescent="0.3">
      <c r="A108">
        <v>11</v>
      </c>
      <c r="B108">
        <v>177.14307823922107</v>
      </c>
      <c r="C108">
        <v>13.476921760778936</v>
      </c>
    </row>
    <row r="109" spans="1:3" x14ac:dyDescent="0.3">
      <c r="A109">
        <v>12</v>
      </c>
      <c r="B109">
        <v>183.68114522655384</v>
      </c>
      <c r="C109">
        <v>13.658854773446166</v>
      </c>
    </row>
    <row r="110" spans="1:3" x14ac:dyDescent="0.3">
      <c r="A110">
        <v>13</v>
      </c>
      <c r="B110">
        <v>207.64277553061225</v>
      </c>
      <c r="C110">
        <v>-4.3627755306122538</v>
      </c>
    </row>
    <row r="111" spans="1:3" x14ac:dyDescent="0.3">
      <c r="A111">
        <v>14</v>
      </c>
      <c r="B111">
        <v>192.80257728966302</v>
      </c>
      <c r="C111">
        <v>14.437422710336989</v>
      </c>
    </row>
    <row r="112" spans="1:3" x14ac:dyDescent="0.3">
      <c r="A112">
        <v>15</v>
      </c>
      <c r="B112">
        <v>216.42574999974545</v>
      </c>
      <c r="C112">
        <v>14.854250000254552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353C-1EE0-4838-9CD8-9A72AA8A5C32}">
  <sheetPr codeName="Лист3">
    <tabColor theme="5" tint="0.79998168889431442"/>
  </sheetPr>
  <dimension ref="A1:J8"/>
  <sheetViews>
    <sheetView zoomScale="68" workbookViewId="0">
      <selection activeCell="B7" sqref="B7"/>
    </sheetView>
  </sheetViews>
  <sheetFormatPr defaultRowHeight="14.4" x14ac:dyDescent="0.3"/>
  <cols>
    <col min="1" max="1" width="20" bestFit="1" customWidth="1"/>
    <col min="2" max="2" width="12" bestFit="1" customWidth="1"/>
    <col min="5" max="5" width="14.33203125" bestFit="1" customWidth="1"/>
    <col min="6" max="6" width="13.77734375" customWidth="1"/>
    <col min="7" max="7" width="28.88671875" bestFit="1" customWidth="1"/>
    <col min="8" max="8" width="14.77734375" bestFit="1" customWidth="1"/>
    <col min="9" max="9" width="28.88671875" bestFit="1" customWidth="1"/>
    <col min="10" max="10" width="20.6640625" customWidth="1"/>
  </cols>
  <sheetData>
    <row r="1" spans="1:10" x14ac:dyDescent="0.3">
      <c r="A1" s="31" t="s">
        <v>100</v>
      </c>
      <c r="B1" s="31" t="s">
        <v>67</v>
      </c>
      <c r="D1" s="31" t="s">
        <v>108</v>
      </c>
    </row>
    <row r="2" spans="1:10" x14ac:dyDescent="0.3">
      <c r="A2" t="s">
        <v>101</v>
      </c>
      <c r="B2">
        <f>'З-2. Множ. регрессия'!B20</f>
        <v>15</v>
      </c>
      <c r="D2" t="s">
        <v>88</v>
      </c>
    </row>
    <row r="3" spans="1:10" x14ac:dyDescent="0.3">
      <c r="A3" s="2" t="s">
        <v>97</v>
      </c>
      <c r="B3">
        <v>0.05</v>
      </c>
      <c r="D3" t="s">
        <v>89</v>
      </c>
    </row>
    <row r="5" spans="1:10" x14ac:dyDescent="0.3">
      <c r="A5" s="33" t="s">
        <v>18</v>
      </c>
      <c r="B5" s="33" t="s">
        <v>18</v>
      </c>
      <c r="C5" s="33" t="s">
        <v>18</v>
      </c>
      <c r="D5" s="175" t="s">
        <v>99</v>
      </c>
      <c r="E5" s="175"/>
      <c r="F5" s="175"/>
      <c r="G5" s="175" t="s">
        <v>102</v>
      </c>
      <c r="H5" s="175"/>
      <c r="I5" s="175" t="s">
        <v>15</v>
      </c>
      <c r="J5" s="175"/>
    </row>
    <row r="6" spans="1:10" ht="15.6" x14ac:dyDescent="0.35">
      <c r="A6" s="34" t="s">
        <v>91</v>
      </c>
      <c r="B6" s="34" t="s">
        <v>67</v>
      </c>
      <c r="C6" s="34" t="s">
        <v>92</v>
      </c>
      <c r="D6" s="34" t="s">
        <v>93</v>
      </c>
      <c r="E6" s="34" t="s">
        <v>94</v>
      </c>
      <c r="F6" s="34" t="s">
        <v>98</v>
      </c>
      <c r="G6" s="34" t="s">
        <v>103</v>
      </c>
      <c r="H6" s="34" t="s">
        <v>104</v>
      </c>
      <c r="I6" s="34" t="s">
        <v>105</v>
      </c>
      <c r="J6" s="34" t="s">
        <v>106</v>
      </c>
    </row>
    <row r="7" spans="1:10" ht="172.8" x14ac:dyDescent="0.3">
      <c r="A7" s="17" t="s">
        <v>90</v>
      </c>
      <c r="B7" s="17">
        <f>'З-1. Данные'!B28</f>
        <v>0.61623060538734542</v>
      </c>
      <c r="C7" s="17">
        <f>SQRT('З-1. Данные'!P22/((B2-2) * 'З-1. Данные'!N22))</f>
        <v>0.13877332063090966</v>
      </c>
      <c r="D7" s="17">
        <f>ABS(B7/C7)</f>
        <v>4.4405553069261163</v>
      </c>
      <c r="E7" s="17">
        <f>_xlfn.T.INV.2T($B$3, $B$2-2)</f>
        <v>2.1603686564627926</v>
      </c>
      <c r="F7" s="18">
        <f>_xlfn.T.DIST.2T(D7,$B$2-2)</f>
        <v>6.660736722375087E-4</v>
      </c>
      <c r="G7" s="17">
        <f>B7-E7*C7</f>
        <v>0.31642907314306679</v>
      </c>
      <c r="H7" s="17">
        <f>B7+E7*C7</f>
        <v>0.91603213763162405</v>
      </c>
      <c r="I7" s="16" t="s">
        <v>109</v>
      </c>
      <c r="J7" s="15" t="s">
        <v>107</v>
      </c>
    </row>
    <row r="8" spans="1:10" ht="144" x14ac:dyDescent="0.3">
      <c r="A8" s="17" t="s">
        <v>11</v>
      </c>
      <c r="B8" s="17">
        <f>'З-1. Данные'!B29</f>
        <v>-23.063014695532615</v>
      </c>
      <c r="C8" s="17">
        <f>C7*SQRT('З-1. Данные'!G22/B2)</f>
        <v>44.335444454928009</v>
      </c>
      <c r="D8" s="17">
        <f>ABS(B8/C8)</f>
        <v>0.52019360534388637</v>
      </c>
      <c r="E8" s="17">
        <f>_xlfn.T.INV.2T($B$3, $B$2-2)</f>
        <v>2.1603686564627926</v>
      </c>
      <c r="F8" s="18">
        <f>_xlfn.T.DIST.2T(D8,$B$2-2)</f>
        <v>0.61167325016400542</v>
      </c>
      <c r="G8" s="17">
        <f>B8-E8*C8</f>
        <v>-118.8439192663062</v>
      </c>
      <c r="H8" s="17">
        <f>B8+E8*C8</f>
        <v>72.717889875240971</v>
      </c>
      <c r="I8" s="14" t="s">
        <v>110</v>
      </c>
      <c r="J8" s="15" t="s">
        <v>111</v>
      </c>
    </row>
  </sheetData>
  <mergeCells count="3">
    <mergeCell ref="D5:F5"/>
    <mergeCell ref="G5:H5"/>
    <mergeCell ref="I5:J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97D55-D917-4229-9E06-95CA584909B4}">
  <sheetPr codeName="Лист4">
    <tabColor theme="6" tint="0.59999389629810485"/>
  </sheetPr>
  <dimension ref="A1:E14"/>
  <sheetViews>
    <sheetView workbookViewId="0">
      <selection activeCell="D8" sqref="D8"/>
    </sheetView>
  </sheetViews>
  <sheetFormatPr defaultRowHeight="14.4" x14ac:dyDescent="0.3"/>
  <cols>
    <col min="1" max="1" width="15.88671875" bestFit="1" customWidth="1"/>
    <col min="2" max="2" width="25.6640625" bestFit="1" customWidth="1"/>
    <col min="3" max="3" width="15.88671875" customWidth="1"/>
  </cols>
  <sheetData>
    <row r="1" spans="1:5" x14ac:dyDescent="0.3">
      <c r="A1" s="31" t="s">
        <v>100</v>
      </c>
      <c r="B1" s="31" t="s">
        <v>67</v>
      </c>
      <c r="E1" s="31" t="s">
        <v>108</v>
      </c>
    </row>
    <row r="2" spans="1:5" x14ac:dyDescent="0.3">
      <c r="A2" t="s">
        <v>101</v>
      </c>
      <c r="B2">
        <v>15</v>
      </c>
      <c r="E2" t="s">
        <v>116</v>
      </c>
    </row>
    <row r="3" spans="1:5" ht="15.6" x14ac:dyDescent="0.35">
      <c r="A3" s="2" t="s">
        <v>120</v>
      </c>
      <c r="B3">
        <f>'З-1. Данные'!F23</f>
        <v>4130.8319999999994</v>
      </c>
      <c r="E3" t="s">
        <v>117</v>
      </c>
    </row>
    <row r="4" spans="1:5" x14ac:dyDescent="0.3">
      <c r="A4" t="s">
        <v>64</v>
      </c>
      <c r="B4">
        <f>'З-1. Данные'!B23</f>
        <v>172.40533333333335</v>
      </c>
    </row>
    <row r="5" spans="1:5" ht="15.6" x14ac:dyDescent="0.35">
      <c r="A5" t="s">
        <v>121</v>
      </c>
      <c r="B5">
        <f>'З-1. Данные'!D23</f>
        <v>23.333333333333332</v>
      </c>
    </row>
    <row r="6" spans="1:5" ht="15.6" x14ac:dyDescent="0.35">
      <c r="A6" s="2" t="s">
        <v>122</v>
      </c>
      <c r="B6">
        <f>'З-1. Данные'!O22/('ДЗ-3'!B2)</f>
        <v>17.022222222222226</v>
      </c>
    </row>
    <row r="9" spans="1:5" x14ac:dyDescent="0.3">
      <c r="A9" s="31" t="s">
        <v>9</v>
      </c>
      <c r="B9" s="31" t="s">
        <v>10</v>
      </c>
      <c r="C9" s="31" t="s">
        <v>15</v>
      </c>
    </row>
    <row r="10" spans="1:5" x14ac:dyDescent="0.3">
      <c r="A10" t="s">
        <v>90</v>
      </c>
      <c r="B10">
        <f>(B3 - B5 * B4) / B6</f>
        <v>6.3470496083550545</v>
      </c>
      <c r="C10" t="s">
        <v>133</v>
      </c>
      <c r="D10" t="s">
        <v>18</v>
      </c>
    </row>
    <row r="11" spans="1:5" x14ac:dyDescent="0.3">
      <c r="A11" t="s">
        <v>11</v>
      </c>
      <c r="B11">
        <f>B4-B10*B5</f>
        <v>24.307509138382073</v>
      </c>
      <c r="C11" t="s">
        <v>123</v>
      </c>
      <c r="D11" t="s">
        <v>18</v>
      </c>
    </row>
    <row r="12" spans="1:5" x14ac:dyDescent="0.3">
      <c r="A12" t="s">
        <v>17</v>
      </c>
      <c r="B12">
        <f>B10*B5/B4</f>
        <v>0.85900952906494343</v>
      </c>
      <c r="C12" t="s">
        <v>124</v>
      </c>
      <c r="D12" t="s">
        <v>18</v>
      </c>
    </row>
    <row r="13" spans="1:5" x14ac:dyDescent="0.3">
      <c r="A13" t="s">
        <v>114</v>
      </c>
      <c r="B13">
        <f>'З-1. Данные'!L22/'З-1. Данные'!M22</f>
        <v>0.74937626678868252</v>
      </c>
      <c r="C13" t="s">
        <v>130</v>
      </c>
      <c r="D13" t="s">
        <v>18</v>
      </c>
    </row>
    <row r="14" spans="1:5" x14ac:dyDescent="0.3">
      <c r="A14" t="s">
        <v>115</v>
      </c>
      <c r="B14">
        <f>SQRT(B13)</f>
        <v>0.86566521634444948</v>
      </c>
      <c r="C14" t="s">
        <v>22</v>
      </c>
      <c r="D14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914C1-D11E-4017-8DF0-1641C947D12A}">
  <sheetPr codeName="Лист5">
    <tabColor theme="2" tint="-9.9978637043366805E-2"/>
  </sheetPr>
  <dimension ref="A1:J36"/>
  <sheetViews>
    <sheetView topLeftCell="A13" zoomScale="102" workbookViewId="0">
      <selection activeCell="I11" sqref="I11"/>
    </sheetView>
  </sheetViews>
  <sheetFormatPr defaultRowHeight="14.4" x14ac:dyDescent="0.3"/>
  <cols>
    <col min="1" max="1" width="31.21875" bestFit="1" customWidth="1"/>
    <col min="5" max="5" width="17.33203125" customWidth="1"/>
    <col min="10" max="10" width="23.44140625" customWidth="1"/>
  </cols>
  <sheetData>
    <row r="1" spans="1:10" x14ac:dyDescent="0.3">
      <c r="A1" s="31" t="s">
        <v>100</v>
      </c>
      <c r="B1" s="31" t="s">
        <v>143</v>
      </c>
      <c r="E1" s="31" t="s">
        <v>108</v>
      </c>
    </row>
    <row r="2" spans="1:10" x14ac:dyDescent="0.3">
      <c r="A2" t="s">
        <v>101</v>
      </c>
      <c r="B2">
        <v>15</v>
      </c>
      <c r="E2" t="s">
        <v>132</v>
      </c>
    </row>
    <row r="3" spans="1:10" x14ac:dyDescent="0.3">
      <c r="A3" s="2" t="s">
        <v>97</v>
      </c>
      <c r="B3">
        <v>0.05</v>
      </c>
      <c r="E3" t="s">
        <v>135</v>
      </c>
      <c r="F3" t="s">
        <v>138</v>
      </c>
    </row>
    <row r="4" spans="1:10" x14ac:dyDescent="0.3">
      <c r="A4" t="s">
        <v>148</v>
      </c>
      <c r="B4">
        <f>'З-1. Данные'!B31</f>
        <v>0.60267165333275163</v>
      </c>
      <c r="E4" t="s">
        <v>136</v>
      </c>
      <c r="F4" t="s">
        <v>137</v>
      </c>
    </row>
    <row r="8" spans="1:10" x14ac:dyDescent="0.3">
      <c r="A8" s="177" t="s">
        <v>144</v>
      </c>
      <c r="B8" s="178"/>
      <c r="C8" s="178"/>
      <c r="D8" s="178"/>
      <c r="E8" s="178"/>
      <c r="F8" s="178"/>
      <c r="G8" s="178"/>
      <c r="H8" s="178"/>
      <c r="I8" s="178"/>
      <c r="J8" s="179"/>
    </row>
    <row r="9" spans="1:10" ht="15.6" x14ac:dyDescent="0.35">
      <c r="A9" s="34" t="s">
        <v>139</v>
      </c>
      <c r="B9" s="34" t="s">
        <v>35</v>
      </c>
      <c r="C9" s="34" t="s">
        <v>36</v>
      </c>
      <c r="D9" s="34" t="s">
        <v>37</v>
      </c>
      <c r="E9" s="176" t="s">
        <v>152</v>
      </c>
      <c r="F9" s="176"/>
      <c r="G9" s="176"/>
      <c r="H9" s="176"/>
      <c r="I9" s="34" t="s">
        <v>140</v>
      </c>
      <c r="J9" s="34" t="s">
        <v>15</v>
      </c>
    </row>
    <row r="10" spans="1:10" ht="73.2" x14ac:dyDescent="0.3">
      <c r="A10" s="17" t="s">
        <v>18</v>
      </c>
      <c r="B10" s="17" t="s">
        <v>18</v>
      </c>
      <c r="C10" s="17" t="s">
        <v>18</v>
      </c>
      <c r="D10" s="17" t="s">
        <v>18</v>
      </c>
      <c r="E10" s="17" t="s">
        <v>147</v>
      </c>
      <c r="F10" s="17" t="s">
        <v>149</v>
      </c>
      <c r="G10" s="17" t="s">
        <v>150</v>
      </c>
      <c r="H10" s="17" t="s">
        <v>151</v>
      </c>
      <c r="I10" s="17" t="s">
        <v>18</v>
      </c>
      <c r="J10" s="15" t="s">
        <v>153</v>
      </c>
    </row>
    <row r="11" spans="1:10" x14ac:dyDescent="0.3">
      <c r="A11" t="s">
        <v>31</v>
      </c>
      <c r="B11">
        <v>1</v>
      </c>
      <c r="C11">
        <f>'З-1. Данные'!K22</f>
        <v>8272.4115200693323</v>
      </c>
      <c r="D11">
        <f>C11/B11</f>
        <v>8272.4115200693323</v>
      </c>
      <c r="E11">
        <f>D11/D12</f>
        <v>19.718531433869696</v>
      </c>
      <c r="F11">
        <f>(B4 / (1-B4)) * (B12 / B11)</f>
        <v>19.718531433870094</v>
      </c>
      <c r="G11">
        <f>'З-3. Значимость параметров'!D7^2</f>
        <v>19.718531433869696</v>
      </c>
      <c r="H11">
        <f>E30</f>
        <v>19.718531433869437</v>
      </c>
      <c r="I11">
        <f>_xlfn.F.INV.RT(B3,B11,B12)</f>
        <v>4.6671927318268525</v>
      </c>
    </row>
    <row r="12" spans="1:10" x14ac:dyDescent="0.3">
      <c r="A12" t="s">
        <v>141</v>
      </c>
      <c r="B12">
        <f>B2-B11-1</f>
        <v>13</v>
      </c>
      <c r="C12">
        <f>'З-1. Данные'!P22</f>
        <v>5453.8214532641132</v>
      </c>
      <c r="D12">
        <f t="shared" ref="D12" si="0">C12/B12</f>
        <v>419.52472717416254</v>
      </c>
    </row>
    <row r="13" spans="1:10" x14ac:dyDescent="0.3">
      <c r="A13" t="s">
        <v>142</v>
      </c>
      <c r="B13">
        <f>B2-1</f>
        <v>14</v>
      </c>
      <c r="C13">
        <f>'З-1. Данные'!M22</f>
        <v>13726.232973333334</v>
      </c>
    </row>
    <row r="19" spans="1:6" x14ac:dyDescent="0.3">
      <c r="A19" t="s">
        <v>23</v>
      </c>
    </row>
    <row r="20" spans="1:6" ht="15" thickBot="1" x14ac:dyDescent="0.35"/>
    <row r="21" spans="1:6" x14ac:dyDescent="0.3">
      <c r="A21" s="12" t="s">
        <v>24</v>
      </c>
      <c r="B21" s="12"/>
    </row>
    <row r="22" spans="1:6" x14ac:dyDescent="0.3">
      <c r="A22" s="9" t="s">
        <v>25</v>
      </c>
      <c r="B22" s="9">
        <v>0.77631929857033932</v>
      </c>
    </row>
    <row r="23" spans="1:6" x14ac:dyDescent="0.3">
      <c r="A23" s="9" t="s">
        <v>26</v>
      </c>
      <c r="B23" s="9">
        <v>0.60267165333274364</v>
      </c>
    </row>
    <row r="24" spans="1:6" x14ac:dyDescent="0.3">
      <c r="A24" s="9" t="s">
        <v>27</v>
      </c>
      <c r="B24" s="9">
        <v>0.57210793435833929</v>
      </c>
    </row>
    <row r="25" spans="1:6" x14ac:dyDescent="0.3">
      <c r="A25" s="9" t="s">
        <v>28</v>
      </c>
      <c r="B25" s="9">
        <v>20.482302780062657</v>
      </c>
    </row>
    <row r="26" spans="1:6" ht="15" thickBot="1" x14ac:dyDescent="0.35">
      <c r="A26" s="10" t="s">
        <v>29</v>
      </c>
      <c r="B26" s="10">
        <v>15</v>
      </c>
    </row>
    <row r="28" spans="1:6" ht="15" thickBot="1" x14ac:dyDescent="0.35">
      <c r="A28" t="s">
        <v>30</v>
      </c>
    </row>
    <row r="29" spans="1:6" x14ac:dyDescent="0.3">
      <c r="A29" s="11"/>
      <c r="B29" s="11" t="s">
        <v>35</v>
      </c>
      <c r="C29" s="11" t="s">
        <v>36</v>
      </c>
      <c r="D29" s="11" t="s">
        <v>37</v>
      </c>
      <c r="E29" s="11" t="s">
        <v>38</v>
      </c>
      <c r="F29" s="11" t="s">
        <v>39</v>
      </c>
    </row>
    <row r="30" spans="1:6" x14ac:dyDescent="0.3">
      <c r="A30" s="9" t="s">
        <v>31</v>
      </c>
      <c r="B30" s="9">
        <v>1</v>
      </c>
      <c r="C30" s="9">
        <v>8272.4115200692213</v>
      </c>
      <c r="D30" s="9">
        <v>8272.4115200692213</v>
      </c>
      <c r="E30" s="9">
        <v>19.718531433869437</v>
      </c>
      <c r="F30" s="9">
        <v>6.6607367223754503E-4</v>
      </c>
    </row>
    <row r="31" spans="1:6" x14ac:dyDescent="0.3">
      <c r="A31" s="9" t="s">
        <v>32</v>
      </c>
      <c r="B31" s="9">
        <v>13</v>
      </c>
      <c r="C31" s="9">
        <v>5453.8214532641114</v>
      </c>
      <c r="D31" s="9">
        <v>419.52472717416242</v>
      </c>
      <c r="E31" s="9"/>
      <c r="F31" s="9"/>
    </row>
    <row r="32" spans="1:6" ht="15" thickBot="1" x14ac:dyDescent="0.35">
      <c r="A32" s="10" t="s">
        <v>33</v>
      </c>
      <c r="B32" s="10">
        <v>14</v>
      </c>
      <c r="C32" s="10">
        <v>13726.232973333332</v>
      </c>
      <c r="D32" s="10"/>
      <c r="E32" s="10"/>
      <c r="F32" s="10"/>
    </row>
    <row r="33" spans="1:9" ht="15" thickBot="1" x14ac:dyDescent="0.35"/>
    <row r="34" spans="1:9" x14ac:dyDescent="0.3">
      <c r="A34" s="11"/>
      <c r="B34" s="11" t="s">
        <v>40</v>
      </c>
      <c r="C34" s="11" t="s">
        <v>28</v>
      </c>
      <c r="D34" s="11" t="s">
        <v>41</v>
      </c>
      <c r="E34" s="11" t="s">
        <v>42</v>
      </c>
      <c r="F34" s="11" t="s">
        <v>43</v>
      </c>
      <c r="G34" s="11" t="s">
        <v>44</v>
      </c>
      <c r="H34" s="11" t="s">
        <v>45</v>
      </c>
      <c r="I34" s="11" t="s">
        <v>46</v>
      </c>
    </row>
    <row r="35" spans="1:9" x14ac:dyDescent="0.3">
      <c r="A35" s="9" t="s">
        <v>34</v>
      </c>
      <c r="B35" s="9">
        <v>-23.063014695531308</v>
      </c>
      <c r="C35" s="9">
        <v>44.335444454928016</v>
      </c>
      <c r="D35" s="9">
        <v>-0.52019360534385684</v>
      </c>
      <c r="E35" s="9">
        <v>0.61167325016402541</v>
      </c>
      <c r="F35" s="9">
        <v>-118.84391926630492</v>
      </c>
      <c r="G35" s="9">
        <v>72.717889875242307</v>
      </c>
      <c r="H35" s="9">
        <v>-118.84391926630492</v>
      </c>
      <c r="I35" s="9">
        <v>72.717889875242307</v>
      </c>
    </row>
    <row r="36" spans="1:9" ht="15" thickBot="1" x14ac:dyDescent="0.35">
      <c r="A36" s="10" t="s">
        <v>160</v>
      </c>
      <c r="B36" s="10">
        <v>0.61623060538734131</v>
      </c>
      <c r="C36" s="10">
        <v>0.13877332063090966</v>
      </c>
      <c r="D36" s="10">
        <v>4.440555306926087</v>
      </c>
      <c r="E36" s="10">
        <v>6.6607367223754578E-4</v>
      </c>
      <c r="F36" s="10">
        <v>0.31642907314306268</v>
      </c>
      <c r="G36" s="10">
        <v>0.91603213763161995</v>
      </c>
      <c r="H36" s="10">
        <v>0.31642907314306268</v>
      </c>
      <c r="I36" s="10">
        <v>0.91603213763161995</v>
      </c>
    </row>
  </sheetData>
  <mergeCells count="2">
    <mergeCell ref="E9:H9"/>
    <mergeCell ref="A8:J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A4A38-B7B5-4368-B945-BCDB3F80C02A}">
  <sheetPr codeName="Лист6">
    <tabColor theme="5" tint="0.79998168889431442"/>
  </sheetPr>
  <dimension ref="A1:E15"/>
  <sheetViews>
    <sheetView workbookViewId="0">
      <selection activeCell="B12" sqref="B12"/>
    </sheetView>
  </sheetViews>
  <sheetFormatPr defaultRowHeight="14.4" x14ac:dyDescent="0.3"/>
  <cols>
    <col min="1" max="1" width="15.88671875" bestFit="1" customWidth="1"/>
    <col min="2" max="2" width="36.88671875" customWidth="1"/>
  </cols>
  <sheetData>
    <row r="1" spans="1:5" x14ac:dyDescent="0.3">
      <c r="A1" s="31" t="s">
        <v>100</v>
      </c>
      <c r="B1" s="31" t="s">
        <v>67</v>
      </c>
      <c r="E1" s="31" t="s">
        <v>108</v>
      </c>
    </row>
    <row r="2" spans="1:5" ht="15.6" x14ac:dyDescent="0.35">
      <c r="A2" t="s">
        <v>101</v>
      </c>
      <c r="B2">
        <v>15</v>
      </c>
      <c r="E2" t="s">
        <v>154</v>
      </c>
    </row>
    <row r="3" spans="1:5" x14ac:dyDescent="0.3">
      <c r="A3" s="2" t="s">
        <v>97</v>
      </c>
      <c r="B3">
        <v>0.05</v>
      </c>
    </row>
    <row r="4" spans="1:5" x14ac:dyDescent="0.3">
      <c r="A4" t="s">
        <v>12</v>
      </c>
      <c r="B4">
        <f>'З-1. Данные'!B28</f>
        <v>0.61623060538734542</v>
      </c>
    </row>
    <row r="5" spans="1:5" x14ac:dyDescent="0.3">
      <c r="A5" t="s">
        <v>11</v>
      </c>
      <c r="B5">
        <f>'З-1. Данные'!B29</f>
        <v>-23.063014695532615</v>
      </c>
    </row>
    <row r="6" spans="1:5" ht="15.6" x14ac:dyDescent="0.35">
      <c r="A6" t="s">
        <v>155</v>
      </c>
      <c r="B6">
        <v>300</v>
      </c>
    </row>
    <row r="7" spans="1:5" x14ac:dyDescent="0.3">
      <c r="A7" t="s">
        <v>65</v>
      </c>
      <c r="B7">
        <f>'З-1. Данные'!C23</f>
        <v>317.2</v>
      </c>
    </row>
    <row r="8" spans="1:5" ht="15.6" x14ac:dyDescent="0.35">
      <c r="A8" t="s">
        <v>94</v>
      </c>
      <c r="B8">
        <f>_xlfn.T.INV.2T($B$3, $B$2-2)</f>
        <v>2.1603686564627926</v>
      </c>
    </row>
    <row r="10" spans="1:5" x14ac:dyDescent="0.3">
      <c r="A10" s="31" t="s">
        <v>9</v>
      </c>
      <c r="B10" s="31" t="s">
        <v>67</v>
      </c>
    </row>
    <row r="11" spans="1:5" ht="15.6" x14ac:dyDescent="0.35">
      <c r="A11" t="s">
        <v>156</v>
      </c>
      <c r="B11">
        <f>B5+B4*B6</f>
        <v>161.80616692067102</v>
      </c>
    </row>
    <row r="12" spans="1:5" ht="15.6" x14ac:dyDescent="0.35">
      <c r="A12" t="s">
        <v>157</v>
      </c>
      <c r="B12">
        <f>SQRT('З-1. Данные'!K22 / (B2-2) * (1 + 1/B2 + (B6-B7)^2/('З-1. Данные'!N22)))</f>
        <v>26.218384551025078</v>
      </c>
    </row>
    <row r="13" spans="1:5" x14ac:dyDescent="0.3">
      <c r="A13" t="s">
        <v>103</v>
      </c>
      <c r="B13">
        <f>B11-B8*B12</f>
        <v>105.16479071354813</v>
      </c>
    </row>
    <row r="14" spans="1:5" x14ac:dyDescent="0.3">
      <c r="A14" t="s">
        <v>104</v>
      </c>
      <c r="B14">
        <f>B11+B8*B12</f>
        <v>218.44754312779389</v>
      </c>
    </row>
    <row r="15" spans="1:5" ht="115.2" x14ac:dyDescent="0.3">
      <c r="A15" s="17" t="s">
        <v>15</v>
      </c>
      <c r="B15" s="15" t="s">
        <v>161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714DF-0E80-4239-8AD7-ED52D38E6E4F}">
  <sheetPr>
    <tabColor theme="5" tint="0.79998168889431442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173C0-15F8-4ADB-ADC6-6FE9168502AC}">
  <sheetPr>
    <tabColor theme="5" tint="0.79998168889431442"/>
  </sheetPr>
  <dimension ref="B3:BC63"/>
  <sheetViews>
    <sheetView topLeftCell="U1" zoomScale="86" workbookViewId="0">
      <selection activeCell="AE5" sqref="AE5"/>
    </sheetView>
  </sheetViews>
  <sheetFormatPr defaultRowHeight="14.4" x14ac:dyDescent="0.3"/>
  <cols>
    <col min="1" max="1" width="8.88671875" style="17"/>
    <col min="2" max="2" width="11.33203125" style="17" customWidth="1"/>
    <col min="3" max="3" width="19.33203125" style="17" customWidth="1"/>
    <col min="4" max="4" width="16.88671875" style="17" customWidth="1"/>
    <col min="5" max="5" width="14.77734375" style="17" customWidth="1"/>
    <col min="6" max="6" width="8.88671875" style="17"/>
    <col min="7" max="7" width="11.44140625" style="17" customWidth="1"/>
    <col min="8" max="8" width="15.44140625" style="17" customWidth="1"/>
    <col min="9" max="16" width="8.88671875" style="17"/>
    <col min="17" max="17" width="10.6640625" style="17" customWidth="1"/>
    <col min="18" max="18" width="14.6640625" style="17" customWidth="1"/>
    <col min="19" max="19" width="12.33203125" style="17" customWidth="1"/>
    <col min="20" max="29" width="8.88671875" style="17"/>
    <col min="30" max="30" width="11.88671875" style="17" bestFit="1" customWidth="1"/>
    <col min="31" max="36" width="8.88671875" style="17"/>
    <col min="37" max="37" width="10.5546875" style="17" bestFit="1" customWidth="1"/>
    <col min="38" max="38" width="8.88671875" style="17"/>
    <col min="39" max="39" width="10.5546875" style="17" bestFit="1" customWidth="1"/>
    <col min="40" max="40" width="12.5546875" style="17" bestFit="1" customWidth="1"/>
    <col min="41" max="41" width="9.5546875" style="17" bestFit="1" customWidth="1"/>
    <col min="42" max="16384" width="8.88671875" style="17"/>
  </cols>
  <sheetData>
    <row r="3" spans="2:50" ht="27" customHeight="1" thickBot="1" x14ac:dyDescent="0.35">
      <c r="B3" s="181" t="s">
        <v>220</v>
      </c>
      <c r="C3" s="181"/>
      <c r="D3" s="181"/>
      <c r="E3" s="181"/>
      <c r="G3" s="181" t="s">
        <v>221</v>
      </c>
      <c r="H3" s="181"/>
      <c r="I3" s="181"/>
      <c r="J3" s="181"/>
      <c r="Q3" s="181" t="s">
        <v>226</v>
      </c>
      <c r="R3" s="181"/>
      <c r="S3" s="181"/>
      <c r="T3" s="181"/>
      <c r="U3" s="181"/>
      <c r="AA3" s="180" t="s">
        <v>245</v>
      </c>
      <c r="AB3" s="181"/>
      <c r="AC3" s="181"/>
      <c r="AD3" s="181"/>
      <c r="AE3" s="181"/>
      <c r="AK3" s="181" t="s">
        <v>238</v>
      </c>
      <c r="AL3" s="181"/>
      <c r="AM3" s="181"/>
      <c r="AN3" s="181"/>
      <c r="AO3" s="181"/>
      <c r="AU3" s="181" t="s">
        <v>241</v>
      </c>
      <c r="AV3" s="181"/>
      <c r="AW3" s="181"/>
      <c r="AX3" s="181"/>
    </row>
    <row r="4" spans="2:50" ht="58.2" customHeight="1" x14ac:dyDescent="0.3">
      <c r="B4" s="45" t="s">
        <v>4</v>
      </c>
      <c r="C4" s="40" t="s">
        <v>162</v>
      </c>
      <c r="D4" s="41" t="s">
        <v>158</v>
      </c>
      <c r="E4" s="42" t="s">
        <v>222</v>
      </c>
      <c r="G4" s="40" t="s">
        <v>162</v>
      </c>
      <c r="H4" s="46" t="s">
        <v>223</v>
      </c>
      <c r="I4" s="45" t="s">
        <v>192</v>
      </c>
      <c r="J4" s="45" t="s">
        <v>224</v>
      </c>
      <c r="Q4" s="40" t="s">
        <v>162</v>
      </c>
      <c r="R4" s="46" t="s">
        <v>228</v>
      </c>
      <c r="S4" s="46" t="s">
        <v>227</v>
      </c>
      <c r="T4" s="45" t="s">
        <v>192</v>
      </c>
      <c r="U4" s="45" t="s">
        <v>224</v>
      </c>
      <c r="AA4" s="40" t="s">
        <v>231</v>
      </c>
      <c r="AB4" s="46" t="s">
        <v>232</v>
      </c>
      <c r="AC4" s="45" t="s">
        <v>235</v>
      </c>
      <c r="AD4" s="45" t="s">
        <v>237</v>
      </c>
      <c r="AE4" s="45" t="s">
        <v>224</v>
      </c>
      <c r="AK4" s="40" t="s">
        <v>231</v>
      </c>
      <c r="AL4" s="46" t="s">
        <v>239</v>
      </c>
      <c r="AM4" s="45" t="s">
        <v>235</v>
      </c>
      <c r="AN4" s="45" t="s">
        <v>237</v>
      </c>
      <c r="AO4" s="45" t="s">
        <v>224</v>
      </c>
      <c r="AU4" s="40" t="s">
        <v>236</v>
      </c>
      <c r="AV4" s="46" t="s">
        <v>242</v>
      </c>
      <c r="AW4" s="45" t="s">
        <v>237</v>
      </c>
      <c r="AX4" s="45" t="s">
        <v>224</v>
      </c>
    </row>
    <row r="5" spans="2:50" x14ac:dyDescent="0.3">
      <c r="B5" s="47">
        <v>1</v>
      </c>
      <c r="C5" s="37">
        <v>118.56</v>
      </c>
      <c r="D5" s="38">
        <v>247</v>
      </c>
      <c r="E5" s="48">
        <v>15</v>
      </c>
      <c r="G5" s="37">
        <f>$C5</f>
        <v>118.56</v>
      </c>
      <c r="H5" s="49">
        <f>1/$E5</f>
        <v>6.6666666666666666E-2</v>
      </c>
      <c r="I5" s="47">
        <f>H48</f>
        <v>108.24311272293426</v>
      </c>
      <c r="J5" s="61">
        <f xml:space="preserve"> 1/$B$19*SUM(ABS(($C5 - I5)/$C5))</f>
        <v>5.8012186668160966E-3</v>
      </c>
      <c r="Q5" s="37">
        <f>$C5</f>
        <v>118.56</v>
      </c>
      <c r="R5" s="49">
        <f>$E5</f>
        <v>15</v>
      </c>
      <c r="S5" s="49">
        <f>R5^2</f>
        <v>225</v>
      </c>
      <c r="T5" s="47">
        <f>R48</f>
        <v>116.8958848346889</v>
      </c>
      <c r="U5" s="61">
        <f t="shared" ref="U5:U19" si="0" xml:space="preserve"> 1/$B$19*SUM(ABS(($C5 - T5)/$C5))</f>
        <v>9.3573727244214032E-4</v>
      </c>
      <c r="AA5" s="37">
        <f>LN($C5)</f>
        <v>4.7754191615477763</v>
      </c>
      <c r="AB5" s="49">
        <f>LN($E5)</f>
        <v>2.7080502011022101</v>
      </c>
      <c r="AC5" s="47">
        <f>AB48</f>
        <v>4.7715301821610225</v>
      </c>
      <c r="AD5" s="65">
        <f>EXP(AC5)</f>
        <v>118.0998180030453</v>
      </c>
      <c r="AE5" s="61">
        <f xml:space="preserve"> 1/$B$19*SUM(ABS(($C5 - AD5)/$C5))</f>
        <v>2.5876180665469089E-4</v>
      </c>
      <c r="AK5" s="67">
        <f>LN($C5)</f>
        <v>4.7754191615477763</v>
      </c>
      <c r="AL5" s="49">
        <f>$E5</f>
        <v>15</v>
      </c>
      <c r="AM5" s="69">
        <f>AL48</f>
        <v>4.809496508658599</v>
      </c>
      <c r="AN5" s="70">
        <f>EXP(AM5)</f>
        <v>122.66983876436778</v>
      </c>
      <c r="AO5" s="60">
        <f xml:space="preserve"> 1/$B$19*SUM(ABS(($C5 - AN5)/$C5))</f>
        <v>2.3109754635446352E-3</v>
      </c>
      <c r="AU5" s="67">
        <f>$C5</f>
        <v>118.56</v>
      </c>
      <c r="AV5" s="49">
        <f>LN($E5)</f>
        <v>2.7080502011022101</v>
      </c>
      <c r="AW5" s="70">
        <f>AV48</f>
        <v>113.76015342183558</v>
      </c>
      <c r="AX5" s="60">
        <f xml:space="preserve"> 1/$B$19*SUM(ABS(($C5 - AW5)/$C5))</f>
        <v>2.6989690610461203E-3</v>
      </c>
    </row>
    <row r="6" spans="2:50" x14ac:dyDescent="0.3">
      <c r="B6" s="47">
        <v>2</v>
      </c>
      <c r="C6" s="37">
        <v>124.96</v>
      </c>
      <c r="D6" s="38">
        <v>284</v>
      </c>
      <c r="E6" s="48">
        <v>18</v>
      </c>
      <c r="G6" s="37">
        <f t="shared" ref="G6:G19" si="1">$C6</f>
        <v>124.96</v>
      </c>
      <c r="H6" s="49">
        <f t="shared" ref="H6:H19" si="2">1/$E6</f>
        <v>5.5555555555555552E-2</v>
      </c>
      <c r="I6" s="47">
        <f t="shared" ref="I6:I19" si="3">H49</f>
        <v>140.29704226625967</v>
      </c>
      <c r="J6" s="61">
        <f t="shared" ref="J6:J19" si="4" xml:space="preserve"> 1/$B$19*SUM(ABS(($C6 - I6)/$C6))</f>
        <v>8.1823742350937215E-3</v>
      </c>
      <c r="Q6" s="37">
        <f t="shared" ref="Q6:Q19" si="5">$C6</f>
        <v>124.96</v>
      </c>
      <c r="R6" s="49">
        <f t="shared" ref="R6:R19" si="6">$E6</f>
        <v>18</v>
      </c>
      <c r="S6" s="49">
        <f t="shared" ref="S6:S19" si="7">R6^2</f>
        <v>324</v>
      </c>
      <c r="T6" s="47">
        <f t="shared" ref="T6:T19" si="8">R49</f>
        <v>138.50536096673017</v>
      </c>
      <c r="U6" s="61">
        <f t="shared" si="0"/>
        <v>7.2265049971885252E-3</v>
      </c>
      <c r="AA6" s="37">
        <f t="shared" ref="AA6:AA19" si="9">LN($C6)</f>
        <v>4.8279936860913759</v>
      </c>
      <c r="AB6" s="49">
        <f t="shared" ref="AB6:AB19" si="10">LN($E6)</f>
        <v>2.8903717578961645</v>
      </c>
      <c r="AC6" s="47">
        <f t="shared" ref="AC6:AC19" si="11">AB49</f>
        <v>4.9270212385351382</v>
      </c>
      <c r="AD6" s="65">
        <f t="shared" ref="AD6:AD19" si="12">EXP(AC6)</f>
        <v>137.96792609403479</v>
      </c>
      <c r="AE6" s="61">
        <f t="shared" ref="AE6:AE19" si="13" xml:space="preserve"> 1/$B$19*SUM(ABS(($C6 - AD6)/$C6))</f>
        <v>6.9397813135055487E-3</v>
      </c>
      <c r="AK6" s="67">
        <f t="shared" ref="AK6:AK19" si="14">LN($C6)</f>
        <v>4.8279936860913759</v>
      </c>
      <c r="AL6" s="49">
        <f t="shared" ref="AL6:AL19" si="15">$E6</f>
        <v>18</v>
      </c>
      <c r="AM6" s="69">
        <f t="shared" ref="AM6:AM19" si="16">AL49</f>
        <v>4.9262167077751631</v>
      </c>
      <c r="AN6" s="70">
        <f t="shared" ref="AN6:AN19" si="17">EXP(AM6)</f>
        <v>137.85697129286223</v>
      </c>
      <c r="AO6" s="60">
        <f t="shared" ref="AO6:AO19" si="18" xml:space="preserve"> 1/$B$19*SUM(ABS(($C6 - AN6)/$C6))</f>
        <v>6.8805864771992282E-3</v>
      </c>
      <c r="AU6" s="67">
        <f t="shared" ref="AU6:AU19" si="19">$C6</f>
        <v>124.96</v>
      </c>
      <c r="AV6" s="49">
        <f t="shared" ref="AV6:AV19" si="20">LN($E6)</f>
        <v>2.8903717578961645</v>
      </c>
      <c r="AW6" s="70">
        <f t="shared" ref="AW6:AW19" si="21">AV49</f>
        <v>138.93705943538617</v>
      </c>
      <c r="AX6" s="60">
        <f t="shared" ref="AX6:AX19" si="22" xml:space="preserve"> 1/$B$19*SUM(ABS(($C6 - AW6)/$C6))</f>
        <v>7.4568178805944204E-3</v>
      </c>
    </row>
    <row r="7" spans="2:50" x14ac:dyDescent="0.3">
      <c r="B7" s="47">
        <v>3</v>
      </c>
      <c r="C7" s="37">
        <v>134.16</v>
      </c>
      <c r="D7" s="38">
        <v>258</v>
      </c>
      <c r="E7" s="48">
        <v>18</v>
      </c>
      <c r="G7" s="37">
        <f t="shared" si="1"/>
        <v>134.16</v>
      </c>
      <c r="H7" s="49">
        <f t="shared" si="2"/>
        <v>5.5555555555555552E-2</v>
      </c>
      <c r="I7" s="47">
        <f t="shared" si="3"/>
        <v>140.29704226625967</v>
      </c>
      <c r="J7" s="61">
        <f t="shared" si="4"/>
        <v>3.0496135292484941E-3</v>
      </c>
      <c r="Q7" s="37">
        <f t="shared" si="5"/>
        <v>134.16</v>
      </c>
      <c r="R7" s="49">
        <f t="shared" si="6"/>
        <v>18</v>
      </c>
      <c r="S7" s="49">
        <f t="shared" si="7"/>
        <v>324</v>
      </c>
      <c r="T7" s="47">
        <f t="shared" si="8"/>
        <v>138.50536096673017</v>
      </c>
      <c r="U7" s="61">
        <f t="shared" si="0"/>
        <v>2.1592928675860513E-3</v>
      </c>
      <c r="AA7" s="37">
        <f t="shared" si="9"/>
        <v>4.8990331175149535</v>
      </c>
      <c r="AB7" s="49">
        <f t="shared" si="10"/>
        <v>2.8903717578961645</v>
      </c>
      <c r="AC7" s="47">
        <f t="shared" si="11"/>
        <v>4.9270212385351382</v>
      </c>
      <c r="AD7" s="65">
        <f t="shared" si="12"/>
        <v>137.96792609403479</v>
      </c>
      <c r="AE7" s="61">
        <f t="shared" si="13"/>
        <v>1.8922312134937377E-3</v>
      </c>
      <c r="AK7" s="67">
        <f t="shared" si="14"/>
        <v>4.8990331175149535</v>
      </c>
      <c r="AL7" s="49">
        <f t="shared" si="15"/>
        <v>18</v>
      </c>
      <c r="AM7" s="69">
        <f t="shared" si="16"/>
        <v>4.9262167077751631</v>
      </c>
      <c r="AN7" s="70">
        <f t="shared" si="17"/>
        <v>137.85697129286223</v>
      </c>
      <c r="AO7" s="60">
        <f t="shared" si="18"/>
        <v>1.8370956533801579E-3</v>
      </c>
      <c r="AU7" s="67">
        <f t="shared" si="19"/>
        <v>134.16</v>
      </c>
      <c r="AV7" s="49">
        <f t="shared" si="20"/>
        <v>2.8903717578961645</v>
      </c>
      <c r="AW7" s="70">
        <f t="shared" si="21"/>
        <v>138.93705943538617</v>
      </c>
      <c r="AX7" s="60">
        <f t="shared" si="22"/>
        <v>2.373812082779854E-3</v>
      </c>
    </row>
    <row r="8" spans="2:50" x14ac:dyDescent="0.3">
      <c r="B8" s="47">
        <v>4</v>
      </c>
      <c r="C8" s="37">
        <v>155.04</v>
      </c>
      <c r="D8" s="38">
        <v>323</v>
      </c>
      <c r="E8" s="48">
        <v>19</v>
      </c>
      <c r="G8" s="37">
        <f t="shared" si="1"/>
        <v>155.04</v>
      </c>
      <c r="H8" s="49">
        <f t="shared" si="2"/>
        <v>5.2631578947368418E-2</v>
      </c>
      <c r="I8" s="47">
        <f t="shared" si="3"/>
        <v>148.73228688292426</v>
      </c>
      <c r="J8" s="61">
        <f t="shared" si="4"/>
        <v>2.7122949419830307E-3</v>
      </c>
      <c r="Q8" s="37">
        <f t="shared" si="5"/>
        <v>155.04</v>
      </c>
      <c r="R8" s="49">
        <f t="shared" si="6"/>
        <v>19</v>
      </c>
      <c r="S8" s="49">
        <f t="shared" si="7"/>
        <v>361</v>
      </c>
      <c r="T8" s="47">
        <f t="shared" si="8"/>
        <v>145.41457993183408</v>
      </c>
      <c r="U8" s="61">
        <f t="shared" si="0"/>
        <v>4.1388975181311958E-3</v>
      </c>
      <c r="AA8" s="37">
        <f t="shared" si="9"/>
        <v>5.0436831481424562</v>
      </c>
      <c r="AB8" s="49">
        <f t="shared" si="10"/>
        <v>2.9444389791664403</v>
      </c>
      <c r="AC8" s="47">
        <f t="shared" si="11"/>
        <v>4.9731319096941675</v>
      </c>
      <c r="AD8" s="65">
        <f t="shared" si="12"/>
        <v>144.47867368337091</v>
      </c>
      <c r="AE8" s="61">
        <f t="shared" si="13"/>
        <v>4.5413339854786204E-3</v>
      </c>
      <c r="AK8" s="67">
        <f t="shared" si="14"/>
        <v>5.0436831481424562</v>
      </c>
      <c r="AL8" s="49">
        <f t="shared" si="15"/>
        <v>19</v>
      </c>
      <c r="AM8" s="69">
        <f t="shared" si="16"/>
        <v>4.9651234408140184</v>
      </c>
      <c r="AN8" s="70">
        <f t="shared" si="17"/>
        <v>143.32624148933203</v>
      </c>
      <c r="AO8" s="60">
        <f t="shared" si="18"/>
        <v>5.0368758645803055E-3</v>
      </c>
      <c r="AU8" s="67">
        <f t="shared" si="19"/>
        <v>155.04</v>
      </c>
      <c r="AV8" s="49">
        <f t="shared" si="20"/>
        <v>2.9444389791664403</v>
      </c>
      <c r="AW8" s="70">
        <f t="shared" si="21"/>
        <v>146.40323826948833</v>
      </c>
      <c r="AX8" s="60">
        <f t="shared" si="22"/>
        <v>3.713777833897345E-3</v>
      </c>
    </row>
    <row r="9" spans="2:50" x14ac:dyDescent="0.3">
      <c r="B9" s="47">
        <v>5</v>
      </c>
      <c r="C9" s="37">
        <v>161.12</v>
      </c>
      <c r="D9" s="38">
        <v>304</v>
      </c>
      <c r="E9" s="48">
        <v>27</v>
      </c>
      <c r="G9" s="37">
        <f t="shared" si="1"/>
        <v>161.12</v>
      </c>
      <c r="H9" s="49">
        <f t="shared" si="2"/>
        <v>3.7037037037037035E-2</v>
      </c>
      <c r="I9" s="47">
        <f t="shared" si="3"/>
        <v>193.72025817180202</v>
      </c>
      <c r="J9" s="61">
        <f t="shared" si="4"/>
        <v>1.3489017780454325E-2</v>
      </c>
      <c r="Q9" s="37">
        <f t="shared" si="5"/>
        <v>161.12</v>
      </c>
      <c r="R9" s="49">
        <f t="shared" si="6"/>
        <v>27</v>
      </c>
      <c r="S9" s="49">
        <f t="shared" si="7"/>
        <v>729</v>
      </c>
      <c r="T9" s="47">
        <f t="shared" si="8"/>
        <v>195.39741623228812</v>
      </c>
      <c r="U9" s="61">
        <f t="shared" si="0"/>
        <v>1.4182975931929874E-2</v>
      </c>
      <c r="AA9" s="37">
        <f t="shared" si="9"/>
        <v>5.0821494289702525</v>
      </c>
      <c r="AB9" s="49">
        <f t="shared" si="10"/>
        <v>3.2958368660043291</v>
      </c>
      <c r="AC9" s="47">
        <f t="shared" si="11"/>
        <v>5.2728179676286331</v>
      </c>
      <c r="AD9" s="65">
        <f t="shared" si="12"/>
        <v>194.96459298254683</v>
      </c>
      <c r="AE9" s="61">
        <f t="shared" si="13"/>
        <v>1.400388653696906E-2</v>
      </c>
      <c r="AK9" s="67">
        <f t="shared" si="14"/>
        <v>5.0821494289702525</v>
      </c>
      <c r="AL9" s="49">
        <f t="shared" si="15"/>
        <v>27</v>
      </c>
      <c r="AM9" s="69">
        <f t="shared" si="16"/>
        <v>5.2763773051248561</v>
      </c>
      <c r="AN9" s="70">
        <f t="shared" si="17"/>
        <v>195.65977422719016</v>
      </c>
      <c r="AO9" s="60">
        <f t="shared" si="18"/>
        <v>1.429153187156163E-2</v>
      </c>
      <c r="AU9" s="67">
        <f t="shared" si="19"/>
        <v>161.12</v>
      </c>
      <c r="AV9" s="49">
        <f t="shared" si="20"/>
        <v>3.2958368660043291</v>
      </c>
      <c r="AW9" s="70">
        <f t="shared" si="21"/>
        <v>194.92800805453425</v>
      </c>
      <c r="AX9" s="60">
        <f t="shared" si="22"/>
        <v>1.3988748781253823E-2</v>
      </c>
    </row>
    <row r="10" spans="2:50" x14ac:dyDescent="0.3">
      <c r="B10" s="47">
        <v>6</v>
      </c>
      <c r="C10" s="37">
        <v>165.13</v>
      </c>
      <c r="D10" s="38">
        <v>337</v>
      </c>
      <c r="E10" s="48">
        <v>22</v>
      </c>
      <c r="G10" s="37">
        <f t="shared" si="1"/>
        <v>165.13</v>
      </c>
      <c r="H10" s="49">
        <f t="shared" si="2"/>
        <v>4.5454545454545456E-2</v>
      </c>
      <c r="I10" s="47">
        <f t="shared" si="3"/>
        <v>169.43697821473731</v>
      </c>
      <c r="J10" s="61">
        <f t="shared" si="4"/>
        <v>1.7388232361320629E-3</v>
      </c>
      <c r="Q10" s="37">
        <f t="shared" si="5"/>
        <v>165.13</v>
      </c>
      <c r="R10" s="49">
        <f t="shared" si="6"/>
        <v>22</v>
      </c>
      <c r="S10" s="49">
        <f t="shared" si="7"/>
        <v>484</v>
      </c>
      <c r="T10" s="47">
        <f t="shared" si="8"/>
        <v>165.2604175904163</v>
      </c>
      <c r="U10" s="61">
        <f t="shared" si="0"/>
        <v>5.2652492144088621E-5</v>
      </c>
      <c r="AA10" s="37">
        <f t="shared" si="9"/>
        <v>5.1067330424748967</v>
      </c>
      <c r="AB10" s="49">
        <f t="shared" si="10"/>
        <v>3.0910424533583161</v>
      </c>
      <c r="AC10" s="47">
        <f t="shared" si="11"/>
        <v>5.0981611682802583</v>
      </c>
      <c r="AD10" s="65">
        <f t="shared" si="12"/>
        <v>163.72057574794187</v>
      </c>
      <c r="AE10" s="61">
        <f t="shared" si="13"/>
        <v>5.6901602860700879E-4</v>
      </c>
      <c r="AK10" s="67">
        <f t="shared" si="14"/>
        <v>5.1067330424748967</v>
      </c>
      <c r="AL10" s="49">
        <f t="shared" si="15"/>
        <v>22</v>
      </c>
      <c r="AM10" s="69">
        <f t="shared" si="16"/>
        <v>5.0818436399305824</v>
      </c>
      <c r="AN10" s="70">
        <f t="shared" si="17"/>
        <v>161.07073880207946</v>
      </c>
      <c r="AO10" s="60">
        <f t="shared" si="18"/>
        <v>1.6388143474517186E-3</v>
      </c>
      <c r="AU10" s="67">
        <f t="shared" si="19"/>
        <v>165.13</v>
      </c>
      <c r="AV10" s="49">
        <f t="shared" si="20"/>
        <v>3.0910424533583161</v>
      </c>
      <c r="AW10" s="70">
        <f t="shared" si="21"/>
        <v>166.64781030964565</v>
      </c>
      <c r="AX10" s="60">
        <f t="shared" si="22"/>
        <v>6.127738992089683E-4</v>
      </c>
    </row>
    <row r="11" spans="2:50" x14ac:dyDescent="0.3">
      <c r="B11" s="47">
        <v>7</v>
      </c>
      <c r="C11" s="37">
        <v>170</v>
      </c>
      <c r="D11" s="38">
        <v>340</v>
      </c>
      <c r="E11" s="48">
        <v>23</v>
      </c>
      <c r="G11" s="37">
        <f t="shared" si="1"/>
        <v>170</v>
      </c>
      <c r="H11" s="49">
        <f t="shared" si="2"/>
        <v>4.3478260869565216E-2</v>
      </c>
      <c r="I11" s="47">
        <f t="shared" si="3"/>
        <v>175.1382700307438</v>
      </c>
      <c r="J11" s="61">
        <f t="shared" si="4"/>
        <v>2.015007855193646E-3</v>
      </c>
      <c r="Q11" s="37">
        <f t="shared" si="5"/>
        <v>170</v>
      </c>
      <c r="R11" s="49">
        <f t="shared" si="6"/>
        <v>23</v>
      </c>
      <c r="S11" s="49">
        <f t="shared" si="7"/>
        <v>529</v>
      </c>
      <c r="T11" s="47">
        <f t="shared" si="8"/>
        <v>171.5817570643672</v>
      </c>
      <c r="U11" s="61">
        <f t="shared" si="0"/>
        <v>6.2029688798713564E-4</v>
      </c>
      <c r="AA11" s="37">
        <f t="shared" si="9"/>
        <v>5.1357984370502621</v>
      </c>
      <c r="AB11" s="49">
        <f t="shared" si="10"/>
        <v>3.1354942159291497</v>
      </c>
      <c r="AC11" s="47">
        <f t="shared" si="11"/>
        <v>5.1360713948128325</v>
      </c>
      <c r="AD11" s="65">
        <f t="shared" si="12"/>
        <v>170.04640915321818</v>
      </c>
      <c r="AE11" s="61">
        <f t="shared" si="13"/>
        <v>1.819966792869737E-5</v>
      </c>
      <c r="AK11" s="67">
        <f t="shared" si="14"/>
        <v>5.1357984370502621</v>
      </c>
      <c r="AL11" s="49">
        <f t="shared" si="15"/>
        <v>23</v>
      </c>
      <c r="AM11" s="69">
        <f t="shared" si="16"/>
        <v>5.1207503729694368</v>
      </c>
      <c r="AN11" s="70">
        <f t="shared" si="17"/>
        <v>167.4609806809766</v>
      </c>
      <c r="AO11" s="60">
        <f t="shared" si="18"/>
        <v>9.9569385059741018E-4</v>
      </c>
      <c r="AU11" s="67">
        <f t="shared" si="19"/>
        <v>170</v>
      </c>
      <c r="AV11" s="49">
        <f t="shared" si="20"/>
        <v>3.1354942159291497</v>
      </c>
      <c r="AW11" s="70">
        <f t="shared" si="21"/>
        <v>172.7861840053427</v>
      </c>
      <c r="AX11" s="60">
        <f t="shared" si="22"/>
        <v>1.0926211785657663E-3</v>
      </c>
    </row>
    <row r="12" spans="2:50" x14ac:dyDescent="0.3">
      <c r="B12" s="47">
        <v>8</v>
      </c>
      <c r="C12" s="37">
        <v>174.42</v>
      </c>
      <c r="D12" s="38">
        <v>306</v>
      </c>
      <c r="E12" s="48">
        <v>24</v>
      </c>
      <c r="G12" s="37">
        <f t="shared" si="1"/>
        <v>174.42</v>
      </c>
      <c r="H12" s="49">
        <f t="shared" si="2"/>
        <v>4.1666666666666664E-2</v>
      </c>
      <c r="I12" s="47">
        <f t="shared" si="3"/>
        <v>180.36445419541644</v>
      </c>
      <c r="J12" s="61">
        <f t="shared" si="4"/>
        <v>2.2720843157957634E-3</v>
      </c>
      <c r="Q12" s="37">
        <f t="shared" si="5"/>
        <v>174.42</v>
      </c>
      <c r="R12" s="49">
        <f t="shared" si="6"/>
        <v>24</v>
      </c>
      <c r="S12" s="49">
        <f t="shared" si="7"/>
        <v>576</v>
      </c>
      <c r="T12" s="47">
        <f t="shared" si="8"/>
        <v>177.75612666552982</v>
      </c>
      <c r="U12" s="61">
        <f t="shared" si="0"/>
        <v>1.2751315466612515E-3</v>
      </c>
      <c r="AA12" s="37">
        <f t="shared" si="9"/>
        <v>5.1614661837988391</v>
      </c>
      <c r="AB12" s="49">
        <f t="shared" si="10"/>
        <v>3.1780538303479458</v>
      </c>
      <c r="AC12" s="47">
        <f t="shared" si="11"/>
        <v>5.1723679223393733</v>
      </c>
      <c r="AD12" s="65">
        <f t="shared" si="12"/>
        <v>176.33188372926455</v>
      </c>
      <c r="AE12" s="61">
        <f t="shared" si="13"/>
        <v>7.3075860156119688E-4</v>
      </c>
      <c r="AK12" s="67">
        <f t="shared" si="14"/>
        <v>5.1614661837988391</v>
      </c>
      <c r="AL12" s="49">
        <f t="shared" si="15"/>
        <v>24</v>
      </c>
      <c r="AM12" s="69">
        <f t="shared" si="16"/>
        <v>5.1596571060082921</v>
      </c>
      <c r="AN12" s="70">
        <f t="shared" si="17"/>
        <v>174.10474589734977</v>
      </c>
      <c r="AO12" s="60">
        <f t="shared" si="18"/>
        <v>1.2049615971036003E-4</v>
      </c>
      <c r="AU12" s="67">
        <f t="shared" si="19"/>
        <v>174.42</v>
      </c>
      <c r="AV12" s="49">
        <f t="shared" si="20"/>
        <v>3.1780538303479458</v>
      </c>
      <c r="AW12" s="70">
        <f t="shared" si="21"/>
        <v>178.66326969415087</v>
      </c>
      <c r="AX12" s="60">
        <f t="shared" si="22"/>
        <v>1.6218589971145826E-3</v>
      </c>
    </row>
    <row r="13" spans="2:50" x14ac:dyDescent="0.3">
      <c r="B13" s="47">
        <v>9</v>
      </c>
      <c r="C13" s="37">
        <v>175.45</v>
      </c>
      <c r="D13" s="38">
        <v>290</v>
      </c>
      <c r="E13" s="48">
        <v>24</v>
      </c>
      <c r="G13" s="37">
        <f t="shared" si="1"/>
        <v>175.45</v>
      </c>
      <c r="H13" s="49">
        <f t="shared" si="2"/>
        <v>4.1666666666666664E-2</v>
      </c>
      <c r="I13" s="47">
        <f t="shared" si="3"/>
        <v>180.36445419541644</v>
      </c>
      <c r="J13" s="61">
        <f t="shared" si="4"/>
        <v>1.867371215129269E-3</v>
      </c>
      <c r="Q13" s="37">
        <f t="shared" si="5"/>
        <v>175.45</v>
      </c>
      <c r="R13" s="49">
        <f t="shared" si="6"/>
        <v>24</v>
      </c>
      <c r="S13" s="49">
        <f t="shared" si="7"/>
        <v>576</v>
      </c>
      <c r="T13" s="47">
        <f t="shared" si="8"/>
        <v>177.75612666552982</v>
      </c>
      <c r="U13" s="61">
        <f t="shared" si="0"/>
        <v>8.7627117527494308E-4</v>
      </c>
      <c r="AA13" s="37">
        <f t="shared" si="9"/>
        <v>5.1673541020292237</v>
      </c>
      <c r="AB13" s="49">
        <f t="shared" si="10"/>
        <v>3.1780538303479458</v>
      </c>
      <c r="AC13" s="47">
        <f t="shared" si="11"/>
        <v>5.1723679223393733</v>
      </c>
      <c r="AD13" s="65">
        <f t="shared" si="12"/>
        <v>176.33188372926455</v>
      </c>
      <c r="AE13" s="61">
        <f t="shared" si="13"/>
        <v>3.3509403600819163E-4</v>
      </c>
      <c r="AK13" s="67">
        <f t="shared" si="14"/>
        <v>5.1673541020292237</v>
      </c>
      <c r="AL13" s="49">
        <f t="shared" si="15"/>
        <v>24</v>
      </c>
      <c r="AM13" s="69">
        <f t="shared" si="16"/>
        <v>5.1596571060082921</v>
      </c>
      <c r="AN13" s="70">
        <f t="shared" si="17"/>
        <v>174.10474589734977</v>
      </c>
      <c r="AO13" s="60">
        <f t="shared" si="18"/>
        <v>5.1116333339041177E-4</v>
      </c>
      <c r="AU13" s="67">
        <f t="shared" si="19"/>
        <v>175.45</v>
      </c>
      <c r="AV13" s="49">
        <f t="shared" si="20"/>
        <v>3.1780538303479458</v>
      </c>
      <c r="AW13" s="70">
        <f t="shared" si="21"/>
        <v>178.66326969415087</v>
      </c>
      <c r="AX13" s="60">
        <f t="shared" si="22"/>
        <v>1.2209631211744585E-3</v>
      </c>
    </row>
    <row r="14" spans="2:50" x14ac:dyDescent="0.3">
      <c r="B14" s="47">
        <v>10</v>
      </c>
      <c r="C14" s="37">
        <v>177.48</v>
      </c>
      <c r="D14" s="38">
        <v>348</v>
      </c>
      <c r="E14" s="48">
        <v>27</v>
      </c>
      <c r="G14" s="37">
        <f t="shared" si="1"/>
        <v>177.48</v>
      </c>
      <c r="H14" s="49">
        <f t="shared" si="2"/>
        <v>3.7037037037037035E-2</v>
      </c>
      <c r="I14" s="47">
        <f t="shared" si="3"/>
        <v>193.72025817180202</v>
      </c>
      <c r="J14" s="61">
        <f t="shared" si="4"/>
        <v>6.1003148417857513E-3</v>
      </c>
      <c r="Q14" s="37">
        <f t="shared" si="5"/>
        <v>177.48</v>
      </c>
      <c r="R14" s="49">
        <f t="shared" si="6"/>
        <v>27</v>
      </c>
      <c r="S14" s="49">
        <f t="shared" si="7"/>
        <v>729</v>
      </c>
      <c r="T14" s="47">
        <f t="shared" si="8"/>
        <v>195.39741623228812</v>
      </c>
      <c r="U14" s="61">
        <f t="shared" si="0"/>
        <v>6.7303043468890898E-3</v>
      </c>
      <c r="AA14" s="37">
        <f t="shared" si="9"/>
        <v>5.1788579265107089</v>
      </c>
      <c r="AB14" s="49">
        <f t="shared" si="10"/>
        <v>3.2958368660043291</v>
      </c>
      <c r="AC14" s="47">
        <f t="shared" si="11"/>
        <v>5.2728179676286331</v>
      </c>
      <c r="AD14" s="65">
        <f t="shared" si="12"/>
        <v>194.96459298254683</v>
      </c>
      <c r="AE14" s="61">
        <f t="shared" si="13"/>
        <v>6.5677233049909259E-3</v>
      </c>
      <c r="AK14" s="67">
        <f t="shared" si="14"/>
        <v>5.1788579265107089</v>
      </c>
      <c r="AL14" s="49">
        <f t="shared" si="15"/>
        <v>27</v>
      </c>
      <c r="AM14" s="69">
        <f t="shared" si="16"/>
        <v>5.2763773051248561</v>
      </c>
      <c r="AN14" s="70">
        <f t="shared" si="17"/>
        <v>195.65977422719016</v>
      </c>
      <c r="AO14" s="60">
        <f t="shared" si="18"/>
        <v>6.8288536650853307E-3</v>
      </c>
      <c r="AU14" s="67">
        <f t="shared" si="19"/>
        <v>177.48</v>
      </c>
      <c r="AV14" s="49">
        <f t="shared" si="20"/>
        <v>3.2958368660043291</v>
      </c>
      <c r="AW14" s="70">
        <f t="shared" si="21"/>
        <v>194.92800805453425</v>
      </c>
      <c r="AX14" s="60">
        <f t="shared" si="22"/>
        <v>6.553980938522371E-3</v>
      </c>
    </row>
    <row r="15" spans="2:50" x14ac:dyDescent="0.3">
      <c r="B15" s="47">
        <v>11</v>
      </c>
      <c r="C15" s="37">
        <v>190.62</v>
      </c>
      <c r="D15" s="38">
        <v>353</v>
      </c>
      <c r="E15" s="48">
        <v>22</v>
      </c>
      <c r="G15" s="37">
        <f t="shared" si="1"/>
        <v>190.62</v>
      </c>
      <c r="H15" s="49">
        <f t="shared" si="2"/>
        <v>4.5454545454545456E-2</v>
      </c>
      <c r="I15" s="47">
        <f t="shared" si="3"/>
        <v>169.43697821473731</v>
      </c>
      <c r="J15" s="61">
        <f t="shared" si="4"/>
        <v>7.4084642343450122E-3</v>
      </c>
      <c r="Q15" s="37">
        <f t="shared" si="5"/>
        <v>190.62</v>
      </c>
      <c r="R15" s="49">
        <f t="shared" si="6"/>
        <v>22</v>
      </c>
      <c r="S15" s="49">
        <f t="shared" si="7"/>
        <v>484</v>
      </c>
      <c r="T15" s="47">
        <f t="shared" si="8"/>
        <v>165.2604175904163</v>
      </c>
      <c r="U15" s="61">
        <f t="shared" si="0"/>
        <v>8.8691576293441435E-3</v>
      </c>
      <c r="AA15" s="37">
        <f t="shared" si="9"/>
        <v>5.2502819175094801</v>
      </c>
      <c r="AB15" s="49">
        <f t="shared" si="10"/>
        <v>3.0910424533583161</v>
      </c>
      <c r="AC15" s="47">
        <f t="shared" si="11"/>
        <v>5.0981611682802583</v>
      </c>
      <c r="AD15" s="65">
        <f t="shared" si="12"/>
        <v>163.72057574794187</v>
      </c>
      <c r="AE15" s="61">
        <f t="shared" si="13"/>
        <v>9.4076956779834704E-3</v>
      </c>
      <c r="AK15" s="67">
        <f t="shared" si="14"/>
        <v>5.2502819175094801</v>
      </c>
      <c r="AL15" s="49">
        <f t="shared" si="15"/>
        <v>22</v>
      </c>
      <c r="AM15" s="69">
        <f t="shared" si="16"/>
        <v>5.0818436399305824</v>
      </c>
      <c r="AN15" s="70">
        <f t="shared" si="17"/>
        <v>161.07073880207946</v>
      </c>
      <c r="AO15" s="60">
        <f t="shared" si="18"/>
        <v>1.0334438917889184E-2</v>
      </c>
      <c r="AU15" s="67">
        <f t="shared" si="19"/>
        <v>190.62</v>
      </c>
      <c r="AV15" s="49">
        <f t="shared" si="20"/>
        <v>3.0910424533583161</v>
      </c>
      <c r="AW15" s="70">
        <f t="shared" si="21"/>
        <v>166.64781030964565</v>
      </c>
      <c r="AX15" s="60">
        <f t="shared" si="22"/>
        <v>8.3839365195517625E-3</v>
      </c>
    </row>
    <row r="16" spans="2:50" x14ac:dyDescent="0.3">
      <c r="B16" s="47">
        <v>12</v>
      </c>
      <c r="C16" s="37">
        <v>197.34</v>
      </c>
      <c r="D16" s="38">
        <v>299</v>
      </c>
      <c r="E16" s="48">
        <v>27</v>
      </c>
      <c r="G16" s="37">
        <f t="shared" si="1"/>
        <v>197.34</v>
      </c>
      <c r="H16" s="49">
        <f t="shared" si="2"/>
        <v>3.7037037037037035E-2</v>
      </c>
      <c r="I16" s="47">
        <f t="shared" si="3"/>
        <v>193.72025817180202</v>
      </c>
      <c r="J16" s="61">
        <f t="shared" si="4"/>
        <v>1.222844440457413E-3</v>
      </c>
      <c r="Q16" s="37">
        <f t="shared" si="5"/>
        <v>197.34</v>
      </c>
      <c r="R16" s="49">
        <f t="shared" si="6"/>
        <v>27</v>
      </c>
      <c r="S16" s="49">
        <f t="shared" si="7"/>
        <v>729</v>
      </c>
      <c r="T16" s="47">
        <f t="shared" si="8"/>
        <v>195.39741623228812</v>
      </c>
      <c r="U16" s="61">
        <f t="shared" si="0"/>
        <v>6.5625612908749051E-4</v>
      </c>
      <c r="AA16" s="37">
        <f t="shared" si="9"/>
        <v>5.2849281294290202</v>
      </c>
      <c r="AB16" s="49">
        <f t="shared" si="10"/>
        <v>3.2958368660043291</v>
      </c>
      <c r="AC16" s="47">
        <f t="shared" si="11"/>
        <v>5.2728179676286331</v>
      </c>
      <c r="AD16" s="65">
        <f t="shared" si="12"/>
        <v>194.96459298254683</v>
      </c>
      <c r="AE16" s="61">
        <f t="shared" si="13"/>
        <v>8.0247526011052684E-4</v>
      </c>
      <c r="AK16" s="67">
        <f t="shared" si="14"/>
        <v>5.2849281294290202</v>
      </c>
      <c r="AL16" s="49">
        <f t="shared" si="15"/>
        <v>27</v>
      </c>
      <c r="AM16" s="69">
        <f t="shared" si="16"/>
        <v>5.2763773051248561</v>
      </c>
      <c r="AN16" s="70">
        <f t="shared" si="17"/>
        <v>195.65977422719016</v>
      </c>
      <c r="AO16" s="60">
        <f t="shared" si="18"/>
        <v>5.6762466565651426E-4</v>
      </c>
      <c r="AU16" s="67">
        <f t="shared" si="19"/>
        <v>197.34</v>
      </c>
      <c r="AV16" s="49">
        <f t="shared" si="20"/>
        <v>3.2958368660043291</v>
      </c>
      <c r="AW16" s="70">
        <f t="shared" si="21"/>
        <v>194.92800805453425</v>
      </c>
      <c r="AX16" s="60">
        <f t="shared" si="22"/>
        <v>8.1483461554196057E-4</v>
      </c>
    </row>
    <row r="17" spans="2:55" x14ac:dyDescent="0.3">
      <c r="B17" s="47">
        <v>13</v>
      </c>
      <c r="C17" s="37">
        <v>203.28</v>
      </c>
      <c r="D17" s="38">
        <v>363</v>
      </c>
      <c r="E17" s="48">
        <v>28</v>
      </c>
      <c r="G17" s="37">
        <f t="shared" si="1"/>
        <v>203.28</v>
      </c>
      <c r="H17" s="49">
        <f t="shared" si="2"/>
        <v>3.5714285714285712E-2</v>
      </c>
      <c r="I17" s="47">
        <f t="shared" si="3"/>
        <v>197.53620216505504</v>
      </c>
      <c r="J17" s="61">
        <f t="shared" si="4"/>
        <v>1.8837064918486674E-3</v>
      </c>
      <c r="Q17" s="37">
        <f t="shared" si="5"/>
        <v>203.28</v>
      </c>
      <c r="R17" s="49">
        <f t="shared" si="6"/>
        <v>28</v>
      </c>
      <c r="S17" s="49">
        <f t="shared" si="7"/>
        <v>784</v>
      </c>
      <c r="T17" s="47">
        <f t="shared" si="8"/>
        <v>200.9839063422977</v>
      </c>
      <c r="U17" s="61">
        <f t="shared" si="0"/>
        <v>7.5301510484792754E-4</v>
      </c>
      <c r="AA17" s="37">
        <f t="shared" si="9"/>
        <v>5.3145843390119083</v>
      </c>
      <c r="AB17" s="49">
        <f t="shared" si="10"/>
        <v>3.3322045101752038</v>
      </c>
      <c r="AC17" s="47">
        <f t="shared" si="11"/>
        <v>5.3038337372907911</v>
      </c>
      <c r="AD17" s="65">
        <f t="shared" si="12"/>
        <v>201.10632278639565</v>
      </c>
      <c r="AE17" s="61">
        <f t="shared" si="13"/>
        <v>7.1286803542055285E-4</v>
      </c>
      <c r="AK17" s="67">
        <f t="shared" si="14"/>
        <v>5.3145843390119083</v>
      </c>
      <c r="AL17" s="49">
        <f t="shared" si="15"/>
        <v>28</v>
      </c>
      <c r="AM17" s="69">
        <f t="shared" si="16"/>
        <v>5.3152840381637114</v>
      </c>
      <c r="AN17" s="70">
        <f t="shared" si="17"/>
        <v>203.42228461598606</v>
      </c>
      <c r="AO17" s="60">
        <f t="shared" si="18"/>
        <v>4.6662933223815074E-5</v>
      </c>
      <c r="AU17" s="67">
        <f t="shared" si="19"/>
        <v>203.28</v>
      </c>
      <c r="AV17" s="49">
        <f t="shared" si="20"/>
        <v>3.3322045101752038</v>
      </c>
      <c r="AW17" s="70">
        <f t="shared" si="21"/>
        <v>199.95004042045537</v>
      </c>
      <c r="AX17" s="60">
        <f t="shared" si="22"/>
        <v>1.0920764723680425E-3</v>
      </c>
    </row>
    <row r="18" spans="2:55" x14ac:dyDescent="0.3">
      <c r="B18" s="47">
        <v>14</v>
      </c>
      <c r="C18" s="37">
        <v>207.24</v>
      </c>
      <c r="D18" s="38">
        <v>314</v>
      </c>
      <c r="E18" s="48">
        <v>28</v>
      </c>
      <c r="G18" s="37">
        <f t="shared" si="1"/>
        <v>207.24</v>
      </c>
      <c r="H18" s="49">
        <f t="shared" si="2"/>
        <v>3.5714285714285712E-2</v>
      </c>
      <c r="I18" s="47">
        <f t="shared" si="3"/>
        <v>197.53620216505504</v>
      </c>
      <c r="J18" s="61">
        <f t="shared" si="4"/>
        <v>3.121597450603154E-3</v>
      </c>
      <c r="Q18" s="37">
        <f t="shared" si="5"/>
        <v>207.24</v>
      </c>
      <c r="R18" s="49">
        <f t="shared" si="6"/>
        <v>28</v>
      </c>
      <c r="S18" s="49">
        <f t="shared" si="7"/>
        <v>784</v>
      </c>
      <c r="T18" s="47">
        <f t="shared" si="8"/>
        <v>200.9839063422977</v>
      </c>
      <c r="U18" s="61">
        <f t="shared" si="0"/>
        <v>2.0125116315068865E-3</v>
      </c>
      <c r="AA18" s="37">
        <f t="shared" si="9"/>
        <v>5.3338775419465874</v>
      </c>
      <c r="AB18" s="49">
        <f t="shared" si="10"/>
        <v>3.3322045101752038</v>
      </c>
      <c r="AC18" s="47">
        <f t="shared" si="11"/>
        <v>5.3038337372907911</v>
      </c>
      <c r="AD18" s="65">
        <f t="shared" si="12"/>
        <v>201.10632278639565</v>
      </c>
      <c r="AE18" s="61">
        <f t="shared" si="13"/>
        <v>1.9731317035335382E-3</v>
      </c>
      <c r="AK18" s="67">
        <f t="shared" si="14"/>
        <v>5.3338775419465874</v>
      </c>
      <c r="AL18" s="49">
        <f t="shared" si="15"/>
        <v>28</v>
      </c>
      <c r="AM18" s="69">
        <f t="shared" si="16"/>
        <v>5.3152840381637114</v>
      </c>
      <c r="AN18" s="70">
        <f t="shared" si="17"/>
        <v>203.42228461598606</v>
      </c>
      <c r="AO18" s="60">
        <f t="shared" si="18"/>
        <v>1.2281140655002094E-3</v>
      </c>
      <c r="AU18" s="67">
        <f t="shared" si="19"/>
        <v>207.24</v>
      </c>
      <c r="AV18" s="49">
        <f t="shared" si="20"/>
        <v>3.3322045101752038</v>
      </c>
      <c r="AW18" s="70">
        <f t="shared" si="21"/>
        <v>199.95004042045537</v>
      </c>
      <c r="AX18" s="60">
        <f t="shared" si="22"/>
        <v>2.3450941193928591E-3</v>
      </c>
    </row>
    <row r="19" spans="2:55" x14ac:dyDescent="0.3">
      <c r="B19" s="47">
        <v>15</v>
      </c>
      <c r="C19" s="37">
        <v>231.28</v>
      </c>
      <c r="D19" s="38">
        <v>392</v>
      </c>
      <c r="E19" s="48">
        <v>28</v>
      </c>
      <c r="G19" s="37">
        <f t="shared" si="1"/>
        <v>231.28</v>
      </c>
      <c r="H19" s="49">
        <f t="shared" si="2"/>
        <v>3.5714285714285712E-2</v>
      </c>
      <c r="I19" s="47">
        <f t="shared" si="3"/>
        <v>197.53620216505504</v>
      </c>
      <c r="J19" s="61">
        <f t="shared" si="4"/>
        <v>9.7266798786305089E-3</v>
      </c>
      <c r="Q19" s="37">
        <f t="shared" si="5"/>
        <v>231.28</v>
      </c>
      <c r="R19" s="49">
        <f t="shared" si="6"/>
        <v>28</v>
      </c>
      <c r="S19" s="49">
        <f t="shared" si="7"/>
        <v>784</v>
      </c>
      <c r="T19" s="47">
        <f t="shared" si="8"/>
        <v>200.9839063422977</v>
      </c>
      <c r="U19" s="61">
        <f t="shared" si="0"/>
        <v>8.7328760687485022E-3</v>
      </c>
      <c r="AA19" s="37">
        <f t="shared" si="9"/>
        <v>5.443629097708091</v>
      </c>
      <c r="AB19" s="49">
        <f t="shared" si="10"/>
        <v>3.3322045101752038</v>
      </c>
      <c r="AC19" s="47">
        <f t="shared" si="11"/>
        <v>5.3038337372907911</v>
      </c>
      <c r="AD19" s="65">
        <f t="shared" si="12"/>
        <v>201.10632278639565</v>
      </c>
      <c r="AE19" s="61">
        <f t="shared" si="13"/>
        <v>8.6975894193486534E-3</v>
      </c>
      <c r="AK19" s="67">
        <f t="shared" si="14"/>
        <v>5.443629097708091</v>
      </c>
      <c r="AL19" s="49">
        <f t="shared" si="15"/>
        <v>28</v>
      </c>
      <c r="AM19" s="69">
        <f t="shared" si="16"/>
        <v>5.3152840381637114</v>
      </c>
      <c r="AN19" s="70">
        <f t="shared" si="17"/>
        <v>203.42228461598606</v>
      </c>
      <c r="AO19" s="60">
        <f t="shared" si="18"/>
        <v>8.0300113524772124E-3</v>
      </c>
      <c r="AU19" s="67">
        <f t="shared" si="19"/>
        <v>231.28</v>
      </c>
      <c r="AV19" s="49">
        <f t="shared" si="20"/>
        <v>3.3322045101752038</v>
      </c>
      <c r="AW19" s="70">
        <f t="shared" si="21"/>
        <v>199.95004042045537</v>
      </c>
      <c r="AX19" s="60">
        <f t="shared" si="22"/>
        <v>9.0308888445591595E-3</v>
      </c>
    </row>
    <row r="20" spans="2:55" x14ac:dyDescent="0.3">
      <c r="B20" s="50" t="s">
        <v>19</v>
      </c>
      <c r="C20" s="50">
        <f>SUM(C5:C19)</f>
        <v>2586.0800000000004</v>
      </c>
      <c r="D20" s="50">
        <f t="shared" ref="D20" si="23">SUM(D5:D19)</f>
        <v>4758</v>
      </c>
      <c r="E20" s="51">
        <f t="shared" ref="E20" si="24">SUM(E5:E19)</f>
        <v>350</v>
      </c>
      <c r="G20" s="50">
        <f>SUM(G5:G19)</f>
        <v>2586.0800000000004</v>
      </c>
      <c r="H20" s="50">
        <f>SUM(H5:H19)</f>
        <v>0.66638401009110393</v>
      </c>
      <c r="I20" s="50">
        <f t="shared" ref="I20:J20" si="25">SUM(I5:I19)</f>
        <v>2586.08</v>
      </c>
      <c r="J20" s="73">
        <f t="shared" si="25"/>
        <v>7.0591413113516924E-2</v>
      </c>
      <c r="Q20" s="50">
        <f>SUM(Q5:Q19)</f>
        <v>2586.0800000000004</v>
      </c>
      <c r="R20" s="50">
        <f>SUM(R5:R19)</f>
        <v>350</v>
      </c>
      <c r="S20" s="50">
        <f>SUM(S5:S19)</f>
        <v>8422</v>
      </c>
      <c r="T20" s="50">
        <f t="shared" ref="T20" si="26">SUM(T5:T19)</f>
        <v>2586.0800000000004</v>
      </c>
      <c r="U20" s="73">
        <f t="shared" ref="U20" si="27">SUM(U5:U19)</f>
        <v>5.9221881599769245E-2</v>
      </c>
      <c r="AA20" s="50">
        <f>SUM(AA5:AA19)</f>
        <v>77.005789259735835</v>
      </c>
      <c r="AB20" s="50">
        <f>SUM(AB5:AB19)</f>
        <v>46.991043607941243</v>
      </c>
      <c r="AC20" s="50">
        <f t="shared" ref="AC20" si="28">SUM(AC5:AC19)</f>
        <v>77.005789259735835</v>
      </c>
      <c r="AD20" s="66">
        <f>SUM(AD5:AD19)</f>
        <v>2576.8784192889443</v>
      </c>
      <c r="AE20" s="72">
        <f>SUM(AE5:AE19)</f>
        <v>5.7450546591594417E-2</v>
      </c>
      <c r="AK20" s="68">
        <f>SUM(AK5:AK19)</f>
        <v>77.005789259735835</v>
      </c>
      <c r="AL20" s="50">
        <f>SUM(AL5:AL19)</f>
        <v>350</v>
      </c>
      <c r="AM20" s="68">
        <f t="shared" ref="AM20" si="29">SUM(AM5:AM19)</f>
        <v>77.00578925973582</v>
      </c>
      <c r="AN20" s="71">
        <f>SUM(AN5:AN19)</f>
        <v>2576.7681494487879</v>
      </c>
      <c r="AO20" s="74">
        <f>SUM(AO5:AO19)</f>
        <v>6.0658938621248118E-2</v>
      </c>
      <c r="AU20" s="68">
        <f>SUM(AU5:AU19)</f>
        <v>2586.0800000000004</v>
      </c>
      <c r="AV20" s="50">
        <f>SUM(AV5:AV19)</f>
        <v>46.991043607941243</v>
      </c>
      <c r="AW20" s="71">
        <f>SUM(AW5:AW19)</f>
        <v>2586.0800000000008</v>
      </c>
      <c r="AX20" s="74">
        <f>SUM(AX5:AX19)</f>
        <v>6.3001154345571492E-2</v>
      </c>
    </row>
    <row r="21" spans="2:55" x14ac:dyDescent="0.3">
      <c r="B21" s="50" t="s">
        <v>14</v>
      </c>
      <c r="C21" s="50">
        <f t="shared" ref="C21:E21" si="30">AVERAGE(C5:C19)</f>
        <v>172.40533333333335</v>
      </c>
      <c r="D21" s="50">
        <f t="shared" si="30"/>
        <v>317.2</v>
      </c>
      <c r="E21" s="50">
        <f t="shared" si="30"/>
        <v>23.333333333333332</v>
      </c>
      <c r="G21" s="50">
        <f>AVERAGE(G5:G19)</f>
        <v>172.40533333333335</v>
      </c>
      <c r="H21" s="50">
        <f t="shared" ref="H21:J21" si="31">AVERAGE(H5:H19)</f>
        <v>4.4425600672740262E-2</v>
      </c>
      <c r="I21" s="50">
        <f t="shared" si="31"/>
        <v>172.40533333333332</v>
      </c>
      <c r="J21" s="63">
        <f t="shared" si="31"/>
        <v>4.7060942075677946E-3</v>
      </c>
      <c r="Q21" s="50">
        <f>AVERAGE(Q5:Q19)</f>
        <v>172.40533333333335</v>
      </c>
      <c r="R21" s="50">
        <f t="shared" ref="R21" si="32">AVERAGE(R5:R19)</f>
        <v>23.333333333333332</v>
      </c>
      <c r="S21" s="50">
        <f>AVERAGE(S5:S19)</f>
        <v>561.4666666666667</v>
      </c>
      <c r="T21" s="50">
        <f>AVERAGE(T5:T19)</f>
        <v>172.40533333333335</v>
      </c>
      <c r="U21" s="63">
        <f>AVERAGE(U5:U19)</f>
        <v>3.9481254399846167E-3</v>
      </c>
      <c r="AA21" s="50">
        <f>AVERAGE(AA5:AA19)</f>
        <v>5.1337192839823889</v>
      </c>
      <c r="AB21" s="50">
        <f t="shared" ref="AB21" si="33">AVERAGE(AB5:AB19)</f>
        <v>3.1327362405294163</v>
      </c>
      <c r="AC21" s="50">
        <f>AVERAGE(AC5:AC19)</f>
        <v>5.1337192839823889</v>
      </c>
      <c r="AD21" s="66">
        <f>AVERAGE(AD5:AD19)</f>
        <v>171.79189461926296</v>
      </c>
      <c r="AE21" s="63">
        <f>AVERAGE(AE5:AE19)</f>
        <v>3.8300364394396277E-3</v>
      </c>
      <c r="AK21" s="68">
        <f>AVERAGE(AK5:AK19)</f>
        <v>5.1337192839823889</v>
      </c>
      <c r="AL21" s="50">
        <f t="shared" ref="AL21" si="34">AVERAGE(AL5:AL19)</f>
        <v>23.333333333333332</v>
      </c>
      <c r="AM21" s="68">
        <f>AVERAGE(AM5:AM19)</f>
        <v>5.133719283982388</v>
      </c>
      <c r="AN21" s="71">
        <f>AVERAGE(AN5:AN19)</f>
        <v>171.78454329658587</v>
      </c>
      <c r="AO21" s="62">
        <f>AVERAGE(AO5:AO19)</f>
        <v>4.0439292414165412E-3</v>
      </c>
      <c r="AU21" s="68">
        <f>AVERAGE(AU5:AU19)</f>
        <v>172.40533333333335</v>
      </c>
      <c r="AV21" s="50">
        <f t="shared" ref="AV21" si="35">AVERAGE(AV5:AV19)</f>
        <v>3.1327362405294163</v>
      </c>
      <c r="AW21" s="71">
        <f>AVERAGE(AW5:AW19)</f>
        <v>172.4053333333334</v>
      </c>
      <c r="AX21" s="62">
        <f>AVERAGE(AX5:AX19)</f>
        <v>4.2000769563714331E-3</v>
      </c>
    </row>
    <row r="24" spans="2:55" x14ac:dyDescent="0.3">
      <c r="G24" s="17" t="s">
        <v>23</v>
      </c>
      <c r="Q24" t="s">
        <v>23</v>
      </c>
      <c r="R24"/>
      <c r="S24"/>
      <c r="T24"/>
      <c r="U24"/>
      <c r="V24"/>
      <c r="W24"/>
      <c r="X24"/>
      <c r="Y24"/>
      <c r="AA24" t="s">
        <v>23</v>
      </c>
      <c r="AB24"/>
      <c r="AC24"/>
      <c r="AD24"/>
      <c r="AE24"/>
      <c r="AF24"/>
      <c r="AG24"/>
      <c r="AH24"/>
      <c r="AI24"/>
      <c r="AK24" t="s">
        <v>23</v>
      </c>
      <c r="AL24"/>
      <c r="AM24"/>
      <c r="AN24"/>
      <c r="AO24"/>
      <c r="AP24"/>
      <c r="AQ24"/>
      <c r="AR24"/>
      <c r="AS24"/>
      <c r="AU24" t="s">
        <v>23</v>
      </c>
      <c r="AV24"/>
      <c r="AW24"/>
      <c r="AX24"/>
      <c r="AY24"/>
      <c r="AZ24"/>
      <c r="BA24"/>
      <c r="BB24"/>
      <c r="BC24"/>
    </row>
    <row r="25" spans="2:55" ht="15" thickBot="1" x14ac:dyDescent="0.35">
      <c r="Q25"/>
      <c r="R25"/>
      <c r="S25"/>
      <c r="T25"/>
      <c r="U25"/>
      <c r="V25"/>
      <c r="W25"/>
      <c r="X25"/>
      <c r="Y25"/>
      <c r="AA25"/>
      <c r="AB25"/>
      <c r="AC25"/>
      <c r="AD25"/>
      <c r="AE25"/>
      <c r="AF25"/>
      <c r="AG25"/>
      <c r="AH25"/>
      <c r="AI25"/>
      <c r="AK25"/>
      <c r="AL25"/>
      <c r="AM25"/>
      <c r="AN25"/>
      <c r="AO25"/>
      <c r="AP25"/>
      <c r="AQ25"/>
      <c r="AR25"/>
      <c r="AS25"/>
      <c r="AU25"/>
      <c r="AV25"/>
      <c r="AW25"/>
      <c r="AX25"/>
      <c r="AY25"/>
      <c r="AZ25"/>
      <c r="BA25"/>
      <c r="BB25"/>
      <c r="BC25"/>
    </row>
    <row r="26" spans="2:55" x14ac:dyDescent="0.3">
      <c r="G26" s="58" t="s">
        <v>24</v>
      </c>
      <c r="H26" s="52"/>
      <c r="Q26" s="12" t="s">
        <v>24</v>
      </c>
      <c r="R26" s="12"/>
      <c r="S26"/>
      <c r="T26"/>
      <c r="U26"/>
      <c r="V26"/>
      <c r="W26"/>
      <c r="X26"/>
      <c r="Y26"/>
      <c r="AA26" s="12" t="s">
        <v>24</v>
      </c>
      <c r="AB26" s="12"/>
      <c r="AC26"/>
      <c r="AD26"/>
      <c r="AE26"/>
      <c r="AF26"/>
      <c r="AG26"/>
      <c r="AH26"/>
      <c r="AI26"/>
      <c r="AK26" s="12" t="s">
        <v>24</v>
      </c>
      <c r="AL26" s="12"/>
      <c r="AM26"/>
      <c r="AN26"/>
      <c r="AO26"/>
      <c r="AP26"/>
      <c r="AQ26"/>
      <c r="AR26"/>
      <c r="AS26"/>
      <c r="AU26" s="12" t="s">
        <v>24</v>
      </c>
      <c r="AV26" s="12"/>
      <c r="AW26"/>
      <c r="AX26"/>
      <c r="AY26"/>
      <c r="AZ26"/>
      <c r="BA26"/>
      <c r="BB26"/>
      <c r="BC26"/>
    </row>
    <row r="27" spans="2:55" x14ac:dyDescent="0.3">
      <c r="G27" s="53" t="s">
        <v>25</v>
      </c>
      <c r="H27" s="53">
        <v>0.85985651253177231</v>
      </c>
      <c r="Q27" s="9" t="s">
        <v>25</v>
      </c>
      <c r="R27" s="9">
        <v>0.86643302130871414</v>
      </c>
      <c r="S27"/>
      <c r="T27"/>
      <c r="U27"/>
      <c r="V27"/>
      <c r="W27"/>
      <c r="X27"/>
      <c r="Y27"/>
      <c r="AA27" s="9" t="s">
        <v>25</v>
      </c>
      <c r="AB27" s="9">
        <v>0.88844811069840257</v>
      </c>
      <c r="AC27"/>
      <c r="AD27"/>
      <c r="AE27"/>
      <c r="AF27"/>
      <c r="AG27"/>
      <c r="AH27"/>
      <c r="AI27"/>
      <c r="AK27" s="9" t="s">
        <v>25</v>
      </c>
      <c r="AL27" s="9">
        <v>0.88130078752313867</v>
      </c>
      <c r="AM27"/>
      <c r="AN27"/>
      <c r="AO27"/>
      <c r="AP27"/>
      <c r="AQ27"/>
      <c r="AR27"/>
      <c r="AS27"/>
      <c r="AU27" s="9" t="s">
        <v>25</v>
      </c>
      <c r="AV27" s="9">
        <v>0.86617908739608374</v>
      </c>
      <c r="AW27"/>
      <c r="AX27"/>
      <c r="AY27"/>
      <c r="AZ27"/>
      <c r="BA27"/>
      <c r="BB27"/>
      <c r="BC27"/>
    </row>
    <row r="28" spans="2:55" x14ac:dyDescent="0.3">
      <c r="G28" s="53" t="s">
        <v>26</v>
      </c>
      <c r="H28" s="53">
        <v>0.7393532221433019</v>
      </c>
      <c r="Q28" s="9" t="s">
        <v>26</v>
      </c>
      <c r="R28" s="9">
        <v>0.75070618041414672</v>
      </c>
      <c r="S28"/>
      <c r="T28"/>
      <c r="U28"/>
      <c r="V28"/>
      <c r="W28"/>
      <c r="X28"/>
      <c r="Y28"/>
      <c r="AA28" s="9" t="s">
        <v>26</v>
      </c>
      <c r="AB28" s="9">
        <v>0.78934004540356095</v>
      </c>
      <c r="AC28"/>
      <c r="AD28"/>
      <c r="AE28"/>
      <c r="AF28"/>
      <c r="AG28"/>
      <c r="AH28"/>
      <c r="AI28"/>
      <c r="AK28" s="9" t="s">
        <v>26</v>
      </c>
      <c r="AL28" s="9">
        <v>0.77669107808890447</v>
      </c>
      <c r="AM28"/>
      <c r="AN28"/>
      <c r="AO28"/>
      <c r="AP28"/>
      <c r="AQ28"/>
      <c r="AR28"/>
      <c r="AS28"/>
      <c r="AU28" s="9" t="s">
        <v>26</v>
      </c>
      <c r="AV28" s="9">
        <v>0.75026621144231254</v>
      </c>
      <c r="AW28"/>
      <c r="AX28"/>
      <c r="AY28"/>
      <c r="AZ28"/>
      <c r="BA28"/>
      <c r="BB28"/>
      <c r="BC28"/>
    </row>
    <row r="29" spans="2:55" x14ac:dyDescent="0.3">
      <c r="G29" s="53" t="s">
        <v>27</v>
      </c>
      <c r="H29" s="75">
        <v>0.7193034700004789</v>
      </c>
      <c r="Q29" s="9" t="s">
        <v>27</v>
      </c>
      <c r="R29" s="76">
        <v>0.70915721048317115</v>
      </c>
      <c r="S29"/>
      <c r="T29"/>
      <c r="U29"/>
      <c r="V29"/>
      <c r="W29"/>
      <c r="X29"/>
      <c r="Y29"/>
      <c r="AA29" s="9" t="s">
        <v>27</v>
      </c>
      <c r="AB29" s="77">
        <v>0.77313543351152714</v>
      </c>
      <c r="AC29"/>
      <c r="AD29"/>
      <c r="AE29"/>
      <c r="AF29"/>
      <c r="AG29"/>
      <c r="AH29"/>
      <c r="AI29"/>
      <c r="AK29" s="9" t="s">
        <v>27</v>
      </c>
      <c r="AL29" s="76">
        <v>0.7595134687111279</v>
      </c>
      <c r="AM29"/>
      <c r="AN29"/>
      <c r="AO29"/>
      <c r="AP29"/>
      <c r="AQ29"/>
      <c r="AR29"/>
      <c r="AS29"/>
      <c r="AU29" s="9" t="s">
        <v>27</v>
      </c>
      <c r="AV29" s="76">
        <v>0.73105592001479813</v>
      </c>
      <c r="AW29"/>
      <c r="AX29"/>
      <c r="AY29"/>
      <c r="AZ29"/>
      <c r="BA29"/>
      <c r="BB29"/>
      <c r="BC29"/>
    </row>
    <row r="30" spans="2:55" x14ac:dyDescent="0.3">
      <c r="G30" s="53" t="s">
        <v>28</v>
      </c>
      <c r="H30" s="53">
        <v>16.589381211183763</v>
      </c>
      <c r="Q30" s="9" t="s">
        <v>28</v>
      </c>
      <c r="R30" s="9">
        <v>16.886545547781402</v>
      </c>
      <c r="S30"/>
      <c r="T30"/>
      <c r="U30"/>
      <c r="V30"/>
      <c r="W30"/>
      <c r="X30"/>
      <c r="Y30"/>
      <c r="AA30" s="9" t="s">
        <v>28</v>
      </c>
      <c r="AB30" s="9">
        <v>8.9799450938281414E-2</v>
      </c>
      <c r="AC30"/>
      <c r="AD30"/>
      <c r="AE30"/>
      <c r="AF30"/>
      <c r="AG30"/>
      <c r="AH30"/>
      <c r="AI30"/>
      <c r="AK30" s="9" t="s">
        <v>28</v>
      </c>
      <c r="AL30" s="9">
        <v>9.2456133121723238E-2</v>
      </c>
      <c r="AM30"/>
      <c r="AN30"/>
      <c r="AO30"/>
      <c r="AP30"/>
      <c r="AQ30"/>
      <c r="AR30"/>
      <c r="AS30"/>
      <c r="AU30" s="9" t="s">
        <v>28</v>
      </c>
      <c r="AV30" s="9">
        <v>16.238378478767242</v>
      </c>
      <c r="AW30"/>
      <c r="AX30"/>
      <c r="AY30"/>
      <c r="AZ30"/>
      <c r="BA30"/>
      <c r="BB30"/>
      <c r="BC30"/>
    </row>
    <row r="31" spans="2:55" ht="15" thickBot="1" x14ac:dyDescent="0.35">
      <c r="G31" s="54" t="s">
        <v>29</v>
      </c>
      <c r="H31" s="54">
        <v>15</v>
      </c>
      <c r="Q31" s="10" t="s">
        <v>29</v>
      </c>
      <c r="R31" s="10">
        <v>15</v>
      </c>
      <c r="S31"/>
      <c r="T31"/>
      <c r="U31"/>
      <c r="V31"/>
      <c r="W31"/>
      <c r="X31"/>
      <c r="Y31"/>
      <c r="AA31" s="10" t="s">
        <v>29</v>
      </c>
      <c r="AB31" s="10">
        <v>15</v>
      </c>
      <c r="AC31"/>
      <c r="AD31"/>
      <c r="AE31"/>
      <c r="AF31"/>
      <c r="AG31"/>
      <c r="AH31"/>
      <c r="AI31"/>
      <c r="AK31" s="10" t="s">
        <v>29</v>
      </c>
      <c r="AL31" s="10">
        <v>15</v>
      </c>
      <c r="AM31"/>
      <c r="AN31"/>
      <c r="AO31"/>
      <c r="AP31"/>
      <c r="AQ31"/>
      <c r="AR31"/>
      <c r="AS31"/>
      <c r="AU31" s="10" t="s">
        <v>29</v>
      </c>
      <c r="AV31" s="10">
        <v>15</v>
      </c>
      <c r="AW31"/>
      <c r="AX31"/>
      <c r="AY31"/>
      <c r="AZ31"/>
      <c r="BA31"/>
      <c r="BB31"/>
      <c r="BC31"/>
    </row>
    <row r="32" spans="2:55" x14ac:dyDescent="0.3">
      <c r="Q32"/>
      <c r="R32"/>
      <c r="S32"/>
      <c r="T32"/>
      <c r="U32"/>
      <c r="V32"/>
      <c r="W32"/>
      <c r="X32"/>
      <c r="Y32"/>
      <c r="AA32"/>
      <c r="AB32"/>
      <c r="AC32"/>
      <c r="AD32"/>
      <c r="AE32"/>
      <c r="AF32"/>
      <c r="AG32"/>
      <c r="AH32"/>
      <c r="AI32"/>
      <c r="AK32"/>
      <c r="AL32"/>
      <c r="AM32"/>
      <c r="AN32"/>
      <c r="AO32"/>
      <c r="AP32"/>
      <c r="AQ32"/>
      <c r="AR32"/>
      <c r="AS32"/>
      <c r="AU32"/>
      <c r="AV32"/>
      <c r="AW32"/>
      <c r="AX32"/>
      <c r="AY32"/>
      <c r="AZ32"/>
      <c r="BA32"/>
      <c r="BB32"/>
      <c r="BC32"/>
    </row>
    <row r="33" spans="7:55" ht="15" thickBot="1" x14ac:dyDescent="0.35">
      <c r="G33" s="17" t="s">
        <v>30</v>
      </c>
      <c r="Q33" t="s">
        <v>30</v>
      </c>
      <c r="R33"/>
      <c r="S33"/>
      <c r="T33"/>
      <c r="U33"/>
      <c r="V33"/>
      <c r="W33"/>
      <c r="X33"/>
      <c r="Y33"/>
      <c r="AA33" t="s">
        <v>30</v>
      </c>
      <c r="AB33"/>
      <c r="AC33"/>
      <c r="AD33"/>
      <c r="AE33"/>
      <c r="AF33"/>
      <c r="AG33"/>
      <c r="AH33"/>
      <c r="AI33"/>
      <c r="AK33" t="s">
        <v>30</v>
      </c>
      <c r="AL33"/>
      <c r="AM33"/>
      <c r="AN33"/>
      <c r="AO33"/>
      <c r="AP33"/>
      <c r="AQ33"/>
      <c r="AR33"/>
      <c r="AS33"/>
      <c r="AU33" t="s">
        <v>30</v>
      </c>
      <c r="AV33"/>
      <c r="AW33"/>
      <c r="AX33"/>
      <c r="AY33"/>
      <c r="AZ33"/>
      <c r="BA33"/>
      <c r="BB33"/>
      <c r="BC33"/>
    </row>
    <row r="34" spans="7:55" x14ac:dyDescent="0.3">
      <c r="G34" s="55"/>
      <c r="H34" s="55" t="s">
        <v>35</v>
      </c>
      <c r="I34" s="55" t="s">
        <v>36</v>
      </c>
      <c r="J34" s="55" t="s">
        <v>37</v>
      </c>
      <c r="K34" s="55" t="s">
        <v>38</v>
      </c>
      <c r="L34" s="55" t="s">
        <v>39</v>
      </c>
      <c r="Q34" s="11"/>
      <c r="R34" s="11" t="s">
        <v>35</v>
      </c>
      <c r="S34" s="11" t="s">
        <v>36</v>
      </c>
      <c r="T34" s="11" t="s">
        <v>37</v>
      </c>
      <c r="U34" s="11" t="s">
        <v>38</v>
      </c>
      <c r="V34" s="11" t="s">
        <v>39</v>
      </c>
      <c r="W34"/>
      <c r="X34"/>
      <c r="Y34"/>
      <c r="AA34" s="11"/>
      <c r="AB34" s="11" t="s">
        <v>35</v>
      </c>
      <c r="AC34" s="11" t="s">
        <v>36</v>
      </c>
      <c r="AD34" s="11" t="s">
        <v>37</v>
      </c>
      <c r="AE34" s="11" t="s">
        <v>38</v>
      </c>
      <c r="AF34" s="11" t="s">
        <v>39</v>
      </c>
      <c r="AG34"/>
      <c r="AH34"/>
      <c r="AI34"/>
      <c r="AK34" s="11"/>
      <c r="AL34" s="11" t="s">
        <v>35</v>
      </c>
      <c r="AM34" s="11" t="s">
        <v>36</v>
      </c>
      <c r="AN34" s="11" t="s">
        <v>37</v>
      </c>
      <c r="AO34" s="11" t="s">
        <v>38</v>
      </c>
      <c r="AP34" s="11" t="s">
        <v>39</v>
      </c>
      <c r="AQ34"/>
      <c r="AR34"/>
      <c r="AS34"/>
      <c r="AU34" s="11"/>
      <c r="AV34" s="11" t="s">
        <v>35</v>
      </c>
      <c r="AW34" s="11" t="s">
        <v>36</v>
      </c>
      <c r="AX34" s="11" t="s">
        <v>37</v>
      </c>
      <c r="AY34" s="11" t="s">
        <v>38</v>
      </c>
      <c r="AZ34" s="11" t="s">
        <v>39</v>
      </c>
      <c r="BA34"/>
      <c r="BB34"/>
      <c r="BC34"/>
    </row>
    <row r="35" spans="7:55" x14ac:dyDescent="0.3">
      <c r="G35" s="53" t="s">
        <v>31</v>
      </c>
      <c r="H35" s="53">
        <v>1</v>
      </c>
      <c r="I35" s="53">
        <v>10148.534576723636</v>
      </c>
      <c r="J35" s="53">
        <v>10148.534576723636</v>
      </c>
      <c r="K35" s="53">
        <v>36.87592828462784</v>
      </c>
      <c r="L35" s="53">
        <v>3.9519017343090877E-5</v>
      </c>
      <c r="Q35" s="9" t="s">
        <v>31</v>
      </c>
      <c r="R35" s="9">
        <v>2</v>
      </c>
      <c r="S35" s="9">
        <v>10304.367926885783</v>
      </c>
      <c r="T35" s="9">
        <v>5152.1839634428916</v>
      </c>
      <c r="U35" s="9">
        <v>18.067985359475323</v>
      </c>
      <c r="V35" s="9">
        <v>2.4003195947971018E-4</v>
      </c>
      <c r="W35"/>
      <c r="X35"/>
      <c r="Y35"/>
      <c r="AA35" s="9" t="s">
        <v>31</v>
      </c>
      <c r="AB35" s="9">
        <v>1</v>
      </c>
      <c r="AC35" s="9">
        <v>0.39280125339561245</v>
      </c>
      <c r="AD35" s="9">
        <v>0.39280125339561245</v>
      </c>
      <c r="AE35" s="9">
        <v>48.710826933880604</v>
      </c>
      <c r="AF35" s="9">
        <v>9.6344176869945662E-6</v>
      </c>
      <c r="AG35"/>
      <c r="AH35"/>
      <c r="AI35"/>
      <c r="AK35" s="9" t="s">
        <v>31</v>
      </c>
      <c r="AL35" s="9">
        <v>1</v>
      </c>
      <c r="AM35" s="9">
        <v>0.38650671627654742</v>
      </c>
      <c r="AN35" s="9">
        <v>0.38650671627654742</v>
      </c>
      <c r="AO35" s="9">
        <v>45.215318442026259</v>
      </c>
      <c r="AP35" s="9">
        <v>1.4170512591389975E-5</v>
      </c>
      <c r="AQ35"/>
      <c r="AR35"/>
      <c r="AS35"/>
      <c r="AU35" s="9" t="s">
        <v>31</v>
      </c>
      <c r="AV35" s="9">
        <v>1</v>
      </c>
      <c r="AW35" s="9">
        <v>10298.328810277349</v>
      </c>
      <c r="AX35" s="9">
        <v>10298.328810277349</v>
      </c>
      <c r="AY35" s="9">
        <v>39.055431005472677</v>
      </c>
      <c r="AZ35" s="9">
        <v>2.9744495029423356E-5</v>
      </c>
      <c r="BA35"/>
      <c r="BB35"/>
      <c r="BC35"/>
    </row>
    <row r="36" spans="7:55" x14ac:dyDescent="0.3">
      <c r="G36" s="53" t="s">
        <v>32</v>
      </c>
      <c r="H36" s="53">
        <v>13</v>
      </c>
      <c r="I36" s="53">
        <v>3577.6983966096986</v>
      </c>
      <c r="J36" s="53">
        <v>275.20756896997682</v>
      </c>
      <c r="K36" s="53"/>
      <c r="L36" s="53"/>
      <c r="Q36" s="9" t="s">
        <v>32</v>
      </c>
      <c r="R36" s="9">
        <v>12</v>
      </c>
      <c r="S36" s="9">
        <v>3421.8650464475509</v>
      </c>
      <c r="T36" s="9">
        <v>285.15542053729592</v>
      </c>
      <c r="U36" s="9"/>
      <c r="V36" s="9"/>
      <c r="W36"/>
      <c r="X36"/>
      <c r="Y36"/>
      <c r="AA36" s="9" t="s">
        <v>32</v>
      </c>
      <c r="AB36" s="9">
        <v>13</v>
      </c>
      <c r="AC36" s="9">
        <v>0.10483123805461854</v>
      </c>
      <c r="AD36" s="9">
        <v>8.0639413888168102E-3</v>
      </c>
      <c r="AE36" s="9"/>
      <c r="AF36" s="9"/>
      <c r="AG36"/>
      <c r="AH36"/>
      <c r="AI36"/>
      <c r="AK36" s="9" t="s">
        <v>32</v>
      </c>
      <c r="AL36" s="9">
        <v>13</v>
      </c>
      <c r="AM36" s="9">
        <v>0.11112577517368352</v>
      </c>
      <c r="AN36" s="9">
        <v>8.5481365518218101E-3</v>
      </c>
      <c r="AO36" s="9"/>
      <c r="AP36" s="9"/>
      <c r="AQ36"/>
      <c r="AR36"/>
      <c r="AS36"/>
      <c r="AU36" s="9" t="s">
        <v>32</v>
      </c>
      <c r="AV36" s="9">
        <v>13</v>
      </c>
      <c r="AW36" s="9">
        <v>3427.9041630559841</v>
      </c>
      <c r="AX36" s="9">
        <v>263.68493561969109</v>
      </c>
      <c r="AY36" s="9"/>
      <c r="AZ36" s="9"/>
      <c r="BA36"/>
      <c r="BB36"/>
      <c r="BC36"/>
    </row>
    <row r="37" spans="7:55" ht="15" thickBot="1" x14ac:dyDescent="0.35">
      <c r="G37" s="54" t="s">
        <v>33</v>
      </c>
      <c r="H37" s="54">
        <v>14</v>
      </c>
      <c r="I37" s="54">
        <v>13726.232973333335</v>
      </c>
      <c r="J37" s="54"/>
      <c r="K37" s="54"/>
      <c r="L37" s="54"/>
      <c r="Q37" s="10" t="s">
        <v>33</v>
      </c>
      <c r="R37" s="10">
        <v>14</v>
      </c>
      <c r="S37" s="10">
        <v>13726.232973333334</v>
      </c>
      <c r="T37" s="10"/>
      <c r="U37" s="10"/>
      <c r="V37" s="10"/>
      <c r="W37"/>
      <c r="X37"/>
      <c r="Y37"/>
      <c r="AA37" s="10" t="s">
        <v>33</v>
      </c>
      <c r="AB37" s="10">
        <v>14</v>
      </c>
      <c r="AC37" s="10">
        <v>0.49763249145023097</v>
      </c>
      <c r="AD37" s="10"/>
      <c r="AE37" s="10"/>
      <c r="AF37" s="10"/>
      <c r="AG37"/>
      <c r="AH37"/>
      <c r="AI37"/>
      <c r="AK37" s="10" t="s">
        <v>33</v>
      </c>
      <c r="AL37" s="10">
        <v>14</v>
      </c>
      <c r="AM37" s="10">
        <v>0.49763249145023092</v>
      </c>
      <c r="AN37" s="10"/>
      <c r="AO37" s="10"/>
      <c r="AP37" s="10"/>
      <c r="AQ37"/>
      <c r="AR37"/>
      <c r="AS37"/>
      <c r="AU37" s="10" t="s">
        <v>33</v>
      </c>
      <c r="AV37" s="10">
        <v>14</v>
      </c>
      <c r="AW37" s="10">
        <v>13726.232973333334</v>
      </c>
      <c r="AX37" s="10"/>
      <c r="AY37" s="10"/>
      <c r="AZ37" s="10"/>
      <c r="BA37"/>
      <c r="BB37"/>
      <c r="BC37"/>
    </row>
    <row r="38" spans="7:55" ht="15" thickBot="1" x14ac:dyDescent="0.35">
      <c r="Q38"/>
      <c r="R38"/>
      <c r="S38"/>
      <c r="T38"/>
      <c r="U38"/>
      <c r="V38"/>
      <c r="W38"/>
      <c r="X38"/>
      <c r="Y38"/>
      <c r="AA38"/>
      <c r="AB38"/>
      <c r="AC38"/>
      <c r="AD38"/>
      <c r="AE38"/>
      <c r="AF38"/>
      <c r="AG38"/>
      <c r="AH38"/>
      <c r="AI38"/>
      <c r="AK38"/>
      <c r="AL38"/>
      <c r="AM38"/>
      <c r="AN38"/>
      <c r="AO38"/>
      <c r="AP38"/>
      <c r="AQ38"/>
      <c r="AR38"/>
      <c r="AS38"/>
      <c r="AU38"/>
      <c r="AV38"/>
      <c r="AW38"/>
      <c r="AX38"/>
      <c r="AY38"/>
      <c r="AZ38"/>
      <c r="BA38"/>
      <c r="BB38"/>
      <c r="BC38"/>
    </row>
    <row r="39" spans="7:55" x14ac:dyDescent="0.3">
      <c r="G39" s="55"/>
      <c r="H39" s="55" t="s">
        <v>40</v>
      </c>
      <c r="I39" s="55" t="s">
        <v>28</v>
      </c>
      <c r="J39" s="55" t="s">
        <v>41</v>
      </c>
      <c r="K39" s="55" t="s">
        <v>42</v>
      </c>
      <c r="L39" s="55" t="s">
        <v>43</v>
      </c>
      <c r="M39" s="55" t="s">
        <v>44</v>
      </c>
      <c r="N39" s="55" t="s">
        <v>45</v>
      </c>
      <c r="O39" s="55" t="s">
        <v>46</v>
      </c>
      <c r="Q39" s="11"/>
      <c r="R39" s="11" t="s">
        <v>40</v>
      </c>
      <c r="S39" s="11" t="s">
        <v>28</v>
      </c>
      <c r="T39" s="11" t="s">
        <v>41</v>
      </c>
      <c r="U39" s="11" t="s">
        <v>42</v>
      </c>
      <c r="V39" s="11" t="s">
        <v>43</v>
      </c>
      <c r="W39" s="11" t="s">
        <v>44</v>
      </c>
      <c r="X39" s="11" t="s">
        <v>45</v>
      </c>
      <c r="Y39" s="11" t="s">
        <v>46</v>
      </c>
      <c r="AA39" s="11"/>
      <c r="AB39" s="11" t="s">
        <v>40</v>
      </c>
      <c r="AC39" s="11" t="s">
        <v>28</v>
      </c>
      <c r="AD39" s="11" t="s">
        <v>41</v>
      </c>
      <c r="AE39" s="11" t="s">
        <v>42</v>
      </c>
      <c r="AF39" s="11" t="s">
        <v>43</v>
      </c>
      <c r="AG39" s="11" t="s">
        <v>44</v>
      </c>
      <c r="AH39" s="11" t="s">
        <v>45</v>
      </c>
      <c r="AI39" s="11" t="s">
        <v>46</v>
      </c>
      <c r="AK39" s="11"/>
      <c r="AL39" s="11" t="s">
        <v>40</v>
      </c>
      <c r="AM39" s="11" t="s">
        <v>28</v>
      </c>
      <c r="AN39" s="11" t="s">
        <v>41</v>
      </c>
      <c r="AO39" s="11" t="s">
        <v>42</v>
      </c>
      <c r="AP39" s="11" t="s">
        <v>43</v>
      </c>
      <c r="AQ39" s="11" t="s">
        <v>44</v>
      </c>
      <c r="AR39" s="11" t="s">
        <v>45</v>
      </c>
      <c r="AS39" s="11" t="s">
        <v>46</v>
      </c>
      <c r="AU39" s="11"/>
      <c r="AV39" s="11" t="s">
        <v>40</v>
      </c>
      <c r="AW39" s="11" t="s">
        <v>28</v>
      </c>
      <c r="AX39" s="11" t="s">
        <v>41</v>
      </c>
      <c r="AY39" s="11" t="s">
        <v>42</v>
      </c>
      <c r="AZ39" s="11" t="s">
        <v>43</v>
      </c>
      <c r="BA39" s="11" t="s">
        <v>44</v>
      </c>
      <c r="BB39" s="11" t="s">
        <v>45</v>
      </c>
      <c r="BC39" s="11" t="s">
        <v>46</v>
      </c>
    </row>
    <row r="40" spans="7:55" x14ac:dyDescent="0.3">
      <c r="G40" s="53" t="s">
        <v>34</v>
      </c>
      <c r="H40" s="53">
        <v>300.56668998288671</v>
      </c>
      <c r="I40" s="53">
        <v>21.535290264991573</v>
      </c>
      <c r="J40" s="53">
        <v>13.956937022181545</v>
      </c>
      <c r="K40" s="53">
        <v>3.347558013111669E-9</v>
      </c>
      <c r="L40" s="53">
        <v>254.04252388657062</v>
      </c>
      <c r="M40" s="53">
        <v>347.09085607920281</v>
      </c>
      <c r="N40" s="53">
        <v>254.04252388657062</v>
      </c>
      <c r="O40" s="53">
        <v>347.09085607920281</v>
      </c>
      <c r="Q40" s="9" t="s">
        <v>34</v>
      </c>
      <c r="R40" s="9">
        <v>-10.992428651932116</v>
      </c>
      <c r="S40" s="9">
        <v>141.74645552773612</v>
      </c>
      <c r="T40" s="9">
        <v>-7.7549936688054835E-2</v>
      </c>
      <c r="U40" s="9">
        <v>0.93946413024841124</v>
      </c>
      <c r="V40" s="9">
        <v>-319.83142451561883</v>
      </c>
      <c r="W40" s="9">
        <v>297.84656721175458</v>
      </c>
      <c r="X40" s="9">
        <v>-319.83142451561883</v>
      </c>
      <c r="Y40" s="9">
        <v>297.84656721175458</v>
      </c>
      <c r="AA40" s="9" t="s">
        <v>34</v>
      </c>
      <c r="AB40" s="9">
        <v>2.4619975416549598</v>
      </c>
      <c r="AC40" s="9">
        <v>0.38350730435572356</v>
      </c>
      <c r="AD40" s="9">
        <v>6.419688787390931</v>
      </c>
      <c r="AE40" s="9">
        <v>2.2719577199894336E-5</v>
      </c>
      <c r="AF40" s="9">
        <v>1.6334803818003181</v>
      </c>
      <c r="AG40" s="9">
        <v>3.2905147015096015</v>
      </c>
      <c r="AH40" s="9">
        <v>1.6334803818003181</v>
      </c>
      <c r="AI40" s="9">
        <v>3.2905147015096015</v>
      </c>
      <c r="AK40" s="9" t="s">
        <v>34</v>
      </c>
      <c r="AL40" s="9">
        <v>4.2258955130757769</v>
      </c>
      <c r="AM40" s="9">
        <v>0.13710205270619227</v>
      </c>
      <c r="AN40" s="9">
        <v>30.822992286861016</v>
      </c>
      <c r="AO40" s="9">
        <v>1.5348812508404387E-13</v>
      </c>
      <c r="AP40" s="9">
        <v>3.9297045356726095</v>
      </c>
      <c r="AQ40" s="9">
        <v>4.5220864904789444</v>
      </c>
      <c r="AR40" s="9">
        <v>3.9297045356726095</v>
      </c>
      <c r="AS40" s="9">
        <v>4.5220864904789444</v>
      </c>
      <c r="AU40" s="9" t="s">
        <v>34</v>
      </c>
      <c r="AV40" s="9">
        <v>-260.19631443664798</v>
      </c>
      <c r="AW40" s="9">
        <v>69.349385685889828</v>
      </c>
      <c r="AX40" s="9">
        <v>-3.7519627876038824</v>
      </c>
      <c r="AY40" s="9">
        <v>2.4184277213094795E-3</v>
      </c>
      <c r="AZ40" s="9">
        <v>-410.01655361739381</v>
      </c>
      <c r="BA40" s="9">
        <v>-110.37607525590215</v>
      </c>
      <c r="BB40" s="9">
        <v>-410.01655361739381</v>
      </c>
      <c r="BC40" s="9">
        <v>-110.37607525590215</v>
      </c>
    </row>
    <row r="41" spans="7:55" ht="15" thickBot="1" x14ac:dyDescent="0.35">
      <c r="G41" s="54" t="s">
        <v>225</v>
      </c>
      <c r="H41" s="54">
        <v>-2884.853658899287</v>
      </c>
      <c r="I41" s="54">
        <v>475.06420283101988</v>
      </c>
      <c r="J41" s="54">
        <v>-6.0725553340111968</v>
      </c>
      <c r="K41" s="54">
        <v>3.9519017343090877E-5</v>
      </c>
      <c r="L41" s="54">
        <v>-3911.1674725029052</v>
      </c>
      <c r="M41" s="54">
        <v>-1858.539845295669</v>
      </c>
      <c r="N41" s="54">
        <v>-3911.1674725029052</v>
      </c>
      <c r="O41" s="54">
        <v>-1858.539845295669</v>
      </c>
      <c r="Q41" s="9" t="s">
        <v>229</v>
      </c>
      <c r="R41" s="9">
        <v>9.6281616116866608</v>
      </c>
      <c r="S41" s="9">
        <v>13.011032174301521</v>
      </c>
      <c r="T41" s="9">
        <v>0.73999983112051104</v>
      </c>
      <c r="U41" s="9">
        <v>0.47352980949161405</v>
      </c>
      <c r="V41" s="9">
        <v>-18.720442216894586</v>
      </c>
      <c r="W41" s="9">
        <v>37.976765440267911</v>
      </c>
      <c r="X41" s="9">
        <v>-18.720442216894586</v>
      </c>
      <c r="Y41" s="9">
        <v>37.976765440267911</v>
      </c>
      <c r="AA41" s="10" t="s">
        <v>233</v>
      </c>
      <c r="AB41" s="10">
        <v>0.85283967024173146</v>
      </c>
      <c r="AC41" s="10">
        <v>0.12219533950981014</v>
      </c>
      <c r="AD41" s="10">
        <v>6.9793142165889508</v>
      </c>
      <c r="AE41" s="10">
        <v>9.6344176869945323E-6</v>
      </c>
      <c r="AF41" s="10">
        <v>0.58885268879890806</v>
      </c>
      <c r="AG41" s="10">
        <v>1.1168266516845549</v>
      </c>
      <c r="AH41" s="10">
        <v>0.58885268879890806</v>
      </c>
      <c r="AI41" s="10">
        <v>1.1168266516845549</v>
      </c>
      <c r="AK41" s="10" t="s">
        <v>240</v>
      </c>
      <c r="AL41" s="10">
        <v>3.8906733038854793E-2</v>
      </c>
      <c r="AM41" s="10">
        <v>5.7860471469535673E-3</v>
      </c>
      <c r="AN41" s="10">
        <v>6.7242336694991707</v>
      </c>
      <c r="AO41" s="10">
        <v>1.4170512591389922E-5</v>
      </c>
      <c r="AP41" s="10">
        <v>2.640673813776034E-2</v>
      </c>
      <c r="AQ41" s="10">
        <v>5.1406727939949243E-2</v>
      </c>
      <c r="AR41" s="10">
        <v>2.640673813776034E-2</v>
      </c>
      <c r="AS41" s="10">
        <v>5.1406727939949243E-2</v>
      </c>
      <c r="AU41" s="10" t="s">
        <v>243</v>
      </c>
      <c r="AV41" s="10">
        <v>138.09067044114568</v>
      </c>
      <c r="AW41" s="10">
        <v>22.096506722134887</v>
      </c>
      <c r="AX41" s="10">
        <v>6.2494344548505101</v>
      </c>
      <c r="AY41" s="10">
        <v>2.9744495029423356E-5</v>
      </c>
      <c r="AZ41" s="10">
        <v>90.354069901326056</v>
      </c>
      <c r="BA41" s="10">
        <v>185.8272709809653</v>
      </c>
      <c r="BB41" s="10">
        <v>90.354069901326056</v>
      </c>
      <c r="BC41" s="10">
        <v>185.8272709809653</v>
      </c>
    </row>
    <row r="42" spans="7:55" ht="15" thickBot="1" x14ac:dyDescent="0.35">
      <c r="Q42" s="10" t="s">
        <v>230</v>
      </c>
      <c r="R42" s="10">
        <v>-7.348493639412837E-2</v>
      </c>
      <c r="S42" s="10">
        <v>0.29043686324628998</v>
      </c>
      <c r="T42" s="10">
        <v>-0.25301518399822842</v>
      </c>
      <c r="U42" s="10">
        <v>0.80453883868721043</v>
      </c>
      <c r="V42" s="10">
        <v>-0.70629250024345125</v>
      </c>
      <c r="W42" s="10">
        <v>0.55932262745519457</v>
      </c>
      <c r="X42" s="10">
        <v>-0.70629250024345125</v>
      </c>
      <c r="Y42" s="10">
        <v>0.55932262745519457</v>
      </c>
      <c r="AA42"/>
      <c r="AB42"/>
      <c r="AC42"/>
      <c r="AD42"/>
      <c r="AE42"/>
      <c r="AF42"/>
      <c r="AG42"/>
      <c r="AH42"/>
      <c r="AI42"/>
      <c r="AK42"/>
      <c r="AL42"/>
      <c r="AM42"/>
      <c r="AN42"/>
      <c r="AO42"/>
      <c r="AP42"/>
      <c r="AQ42"/>
      <c r="AR42"/>
      <c r="AS42"/>
      <c r="AU42"/>
      <c r="AV42"/>
      <c r="AW42"/>
      <c r="AX42"/>
      <c r="AY42"/>
      <c r="AZ42"/>
      <c r="BA42"/>
      <c r="BB42"/>
      <c r="BC42"/>
    </row>
    <row r="43" spans="7:55" x14ac:dyDescent="0.3">
      <c r="Q43"/>
      <c r="R43"/>
      <c r="S43"/>
      <c r="T43"/>
      <c r="U43"/>
      <c r="V43"/>
      <c r="W43"/>
      <c r="X43"/>
      <c r="Y43"/>
      <c r="AA43"/>
      <c r="AB43"/>
      <c r="AC43"/>
      <c r="AD43"/>
      <c r="AE43"/>
      <c r="AF43"/>
      <c r="AG43"/>
      <c r="AH43"/>
      <c r="AI43"/>
      <c r="AK43"/>
      <c r="AL43"/>
      <c r="AM43"/>
      <c r="AN43"/>
      <c r="AO43"/>
      <c r="AP43"/>
      <c r="AQ43"/>
      <c r="AR43"/>
      <c r="AS43"/>
      <c r="AU43"/>
      <c r="AV43"/>
      <c r="AW43"/>
      <c r="AX43"/>
      <c r="AY43"/>
      <c r="AZ43"/>
      <c r="BA43"/>
      <c r="BB43"/>
      <c r="BC43"/>
    </row>
    <row r="44" spans="7:55" x14ac:dyDescent="0.3">
      <c r="Q44"/>
      <c r="R44"/>
      <c r="S44"/>
      <c r="T44"/>
      <c r="U44"/>
      <c r="V44"/>
      <c r="W44"/>
      <c r="X44"/>
      <c r="Y44"/>
      <c r="AA44"/>
      <c r="AB44"/>
      <c r="AC44"/>
      <c r="AD44"/>
      <c r="AE44"/>
      <c r="AF44"/>
      <c r="AG44"/>
      <c r="AH44"/>
      <c r="AI44"/>
      <c r="AK44"/>
      <c r="AL44"/>
      <c r="AM44"/>
      <c r="AN44"/>
      <c r="AO44"/>
      <c r="AP44"/>
      <c r="AQ44"/>
      <c r="AR44"/>
      <c r="AS44"/>
      <c r="AU44"/>
      <c r="AV44"/>
      <c r="AW44"/>
      <c r="AX44"/>
      <c r="AY44"/>
      <c r="AZ44"/>
      <c r="BA44"/>
      <c r="BB44"/>
      <c r="BC44"/>
    </row>
    <row r="45" spans="7:55" x14ac:dyDescent="0.3">
      <c r="G45" s="17" t="s">
        <v>47</v>
      </c>
      <c r="Q45"/>
      <c r="R45"/>
      <c r="S45"/>
      <c r="T45"/>
      <c r="U45"/>
      <c r="V45"/>
      <c r="W45"/>
      <c r="X45"/>
      <c r="Y45"/>
      <c r="AA45" t="s">
        <v>47</v>
      </c>
      <c r="AB45"/>
      <c r="AC45"/>
      <c r="AD45"/>
      <c r="AE45"/>
      <c r="AF45"/>
      <c r="AG45"/>
      <c r="AH45"/>
      <c r="AI45"/>
      <c r="AK45" t="s">
        <v>47</v>
      </c>
      <c r="AL45"/>
      <c r="AM45"/>
      <c r="AN45"/>
      <c r="AO45"/>
      <c r="AP45"/>
      <c r="AQ45"/>
      <c r="AR45"/>
      <c r="AS45"/>
      <c r="AU45" t="s">
        <v>47</v>
      </c>
      <c r="AV45"/>
      <c r="AW45"/>
      <c r="AX45"/>
      <c r="AY45"/>
      <c r="AZ45"/>
      <c r="BA45"/>
      <c r="BB45"/>
      <c r="BC45"/>
    </row>
    <row r="46" spans="7:55" ht="15" thickBot="1" x14ac:dyDescent="0.35">
      <c r="Q46" t="s">
        <v>47</v>
      </c>
      <c r="R46"/>
      <c r="S46"/>
      <c r="T46"/>
      <c r="U46"/>
      <c r="V46"/>
      <c r="W46"/>
      <c r="X46"/>
      <c r="Y46"/>
      <c r="AA46"/>
      <c r="AB46"/>
      <c r="AC46"/>
      <c r="AD46"/>
      <c r="AE46"/>
      <c r="AF46"/>
      <c r="AG46"/>
      <c r="AH46"/>
      <c r="AI46"/>
      <c r="AK46"/>
      <c r="AL46"/>
      <c r="AM46"/>
      <c r="AN46"/>
      <c r="AO46"/>
      <c r="AP46"/>
      <c r="AQ46"/>
      <c r="AR46"/>
      <c r="AS46"/>
      <c r="AU46"/>
      <c r="AV46"/>
      <c r="AW46"/>
      <c r="AX46"/>
      <c r="AY46"/>
      <c r="AZ46"/>
      <c r="BA46"/>
      <c r="BB46"/>
      <c r="BC46"/>
    </row>
    <row r="47" spans="7:55" ht="57.6" x14ac:dyDescent="0.3">
      <c r="G47" s="59" t="s">
        <v>48</v>
      </c>
      <c r="H47" s="59" t="s">
        <v>164</v>
      </c>
      <c r="I47" s="59" t="s">
        <v>49</v>
      </c>
      <c r="Q47" s="64" t="s">
        <v>48</v>
      </c>
      <c r="R47" s="64" t="s">
        <v>164</v>
      </c>
      <c r="S47" s="64" t="s">
        <v>49</v>
      </c>
      <c r="T47"/>
      <c r="U47"/>
      <c r="V47"/>
      <c r="W47"/>
      <c r="X47"/>
      <c r="Y47"/>
      <c r="AA47" s="64" t="s">
        <v>48</v>
      </c>
      <c r="AB47" s="64" t="s">
        <v>234</v>
      </c>
      <c r="AC47" s="64" t="s">
        <v>49</v>
      </c>
      <c r="AD47"/>
      <c r="AE47"/>
      <c r="AF47"/>
      <c r="AG47"/>
      <c r="AH47"/>
      <c r="AI47"/>
      <c r="AK47" s="11" t="s">
        <v>48</v>
      </c>
      <c r="AL47" s="11" t="s">
        <v>234</v>
      </c>
      <c r="AM47" s="11" t="s">
        <v>49</v>
      </c>
      <c r="AN47"/>
      <c r="AO47"/>
      <c r="AP47"/>
      <c r="AQ47"/>
      <c r="AR47"/>
      <c r="AS47"/>
      <c r="AU47" s="11" t="s">
        <v>48</v>
      </c>
      <c r="AV47" s="11" t="s">
        <v>244</v>
      </c>
      <c r="AW47" s="11" t="s">
        <v>49</v>
      </c>
      <c r="AX47"/>
      <c r="AY47"/>
      <c r="AZ47"/>
      <c r="BA47"/>
      <c r="BB47"/>
      <c r="BC47"/>
    </row>
    <row r="48" spans="7:55" x14ac:dyDescent="0.3">
      <c r="G48" s="53">
        <v>1</v>
      </c>
      <c r="H48" s="53">
        <v>108.24311272293426</v>
      </c>
      <c r="I48" s="53">
        <v>10.316887277065746</v>
      </c>
      <c r="Q48" s="9">
        <v>1</v>
      </c>
      <c r="R48" s="9">
        <v>116.8958848346889</v>
      </c>
      <c r="S48" s="9">
        <v>1.6641151653111024</v>
      </c>
      <c r="T48"/>
      <c r="U48"/>
      <c r="V48"/>
      <c r="W48"/>
      <c r="X48"/>
      <c r="Y48"/>
      <c r="AA48" s="9">
        <v>1</v>
      </c>
      <c r="AB48" s="9">
        <v>4.7715301821610225</v>
      </c>
      <c r="AC48" s="9">
        <v>3.8889793867538103E-3</v>
      </c>
      <c r="AD48"/>
      <c r="AE48"/>
      <c r="AF48"/>
      <c r="AG48"/>
      <c r="AH48"/>
      <c r="AI48"/>
      <c r="AK48" s="9">
        <v>1</v>
      </c>
      <c r="AL48" s="9">
        <v>4.809496508658599</v>
      </c>
      <c r="AM48" s="9">
        <v>-3.4077347110822664E-2</v>
      </c>
      <c r="AN48"/>
      <c r="AO48"/>
      <c r="AP48"/>
      <c r="AQ48"/>
      <c r="AR48"/>
      <c r="AS48"/>
      <c r="AU48" s="9">
        <v>1</v>
      </c>
      <c r="AV48" s="9">
        <v>113.76015342183558</v>
      </c>
      <c r="AW48" s="9">
        <v>4.79984657816442</v>
      </c>
      <c r="AX48"/>
      <c r="AY48"/>
      <c r="AZ48"/>
      <c r="BA48"/>
      <c r="BB48"/>
      <c r="BC48"/>
    </row>
    <row r="49" spans="7:55" x14ac:dyDescent="0.3">
      <c r="G49" s="53">
        <v>2</v>
      </c>
      <c r="H49" s="53">
        <v>140.29704226625967</v>
      </c>
      <c r="I49" s="53">
        <v>-15.337042266259672</v>
      </c>
      <c r="Q49" s="9">
        <v>2</v>
      </c>
      <c r="R49" s="9">
        <v>138.50536096673017</v>
      </c>
      <c r="S49" s="9">
        <v>-13.545360966730172</v>
      </c>
      <c r="T49"/>
      <c r="U49"/>
      <c r="V49"/>
      <c r="W49"/>
      <c r="X49"/>
      <c r="Y49"/>
      <c r="AA49" s="9">
        <v>2</v>
      </c>
      <c r="AB49" s="9">
        <v>4.9270212385351382</v>
      </c>
      <c r="AC49" s="9">
        <v>-9.9027552443762268E-2</v>
      </c>
      <c r="AD49"/>
      <c r="AE49"/>
      <c r="AF49"/>
      <c r="AG49"/>
      <c r="AH49"/>
      <c r="AI49"/>
      <c r="AK49" s="9">
        <v>2</v>
      </c>
      <c r="AL49" s="9">
        <v>4.9262167077751631</v>
      </c>
      <c r="AM49" s="9">
        <v>-9.8223021683787159E-2</v>
      </c>
      <c r="AN49"/>
      <c r="AO49"/>
      <c r="AP49"/>
      <c r="AQ49"/>
      <c r="AR49"/>
      <c r="AS49"/>
      <c r="AU49" s="9">
        <v>2</v>
      </c>
      <c r="AV49" s="9">
        <v>138.93705943538617</v>
      </c>
      <c r="AW49" s="9">
        <v>-13.977059435386181</v>
      </c>
      <c r="AX49"/>
      <c r="AY49"/>
      <c r="AZ49"/>
      <c r="BA49"/>
      <c r="BB49"/>
      <c r="BC49"/>
    </row>
    <row r="50" spans="7:55" x14ac:dyDescent="0.3">
      <c r="G50" s="53">
        <v>3</v>
      </c>
      <c r="H50" s="53">
        <v>140.29704226625967</v>
      </c>
      <c r="I50" s="53">
        <v>-6.1370422662596695</v>
      </c>
      <c r="Q50" s="9">
        <v>3</v>
      </c>
      <c r="R50" s="9">
        <v>138.50536096673017</v>
      </c>
      <c r="S50" s="9">
        <v>-4.3453609667301691</v>
      </c>
      <c r="T50"/>
      <c r="U50"/>
      <c r="V50"/>
      <c r="W50"/>
      <c r="X50"/>
      <c r="Y50"/>
      <c r="AA50" s="9">
        <v>3</v>
      </c>
      <c r="AB50" s="9">
        <v>4.9270212385351382</v>
      </c>
      <c r="AC50" s="9">
        <v>-2.7988121020184664E-2</v>
      </c>
      <c r="AD50"/>
      <c r="AE50"/>
      <c r="AF50"/>
      <c r="AG50"/>
      <c r="AH50"/>
      <c r="AI50"/>
      <c r="AK50" s="9">
        <v>3</v>
      </c>
      <c r="AL50" s="9">
        <v>4.9262167077751631</v>
      </c>
      <c r="AM50" s="9">
        <v>-2.7183590260209556E-2</v>
      </c>
      <c r="AN50"/>
      <c r="AO50"/>
      <c r="AP50"/>
      <c r="AQ50"/>
      <c r="AR50"/>
      <c r="AS50"/>
      <c r="AU50" s="9">
        <v>3</v>
      </c>
      <c r="AV50" s="9">
        <v>138.93705943538617</v>
      </c>
      <c r="AW50" s="9">
        <v>-4.7770594353861782</v>
      </c>
      <c r="AX50"/>
      <c r="AY50"/>
      <c r="AZ50"/>
      <c r="BA50"/>
      <c r="BB50"/>
      <c r="BC50"/>
    </row>
    <row r="51" spans="7:55" x14ac:dyDescent="0.3">
      <c r="G51" s="53">
        <v>4</v>
      </c>
      <c r="H51" s="53">
        <v>148.73228688292426</v>
      </c>
      <c r="I51" s="53">
        <v>6.3077131170757355</v>
      </c>
      <c r="Q51" s="9">
        <v>4</v>
      </c>
      <c r="R51" s="9">
        <v>145.41457993183408</v>
      </c>
      <c r="S51" s="9">
        <v>9.6254200681659086</v>
      </c>
      <c r="T51"/>
      <c r="U51"/>
      <c r="V51"/>
      <c r="W51"/>
      <c r="X51"/>
      <c r="Y51"/>
      <c r="AA51" s="9">
        <v>4</v>
      </c>
      <c r="AB51" s="9">
        <v>4.9731319096941675</v>
      </c>
      <c r="AC51" s="9">
        <v>7.05512384482887E-2</v>
      </c>
      <c r="AD51"/>
      <c r="AE51"/>
      <c r="AF51"/>
      <c r="AG51"/>
      <c r="AH51"/>
      <c r="AI51"/>
      <c r="AK51" s="9">
        <v>4</v>
      </c>
      <c r="AL51" s="9">
        <v>4.9651234408140184</v>
      </c>
      <c r="AM51" s="9">
        <v>7.8559707328437867E-2</v>
      </c>
      <c r="AN51"/>
      <c r="AO51"/>
      <c r="AP51"/>
      <c r="AQ51"/>
      <c r="AR51"/>
      <c r="AS51"/>
      <c r="AU51" s="9">
        <v>4</v>
      </c>
      <c r="AV51" s="9">
        <v>146.40323826948833</v>
      </c>
      <c r="AW51" s="9">
        <v>8.6367617305116653</v>
      </c>
      <c r="AX51"/>
      <c r="AY51"/>
      <c r="AZ51"/>
      <c r="BA51"/>
      <c r="BB51"/>
      <c r="BC51"/>
    </row>
    <row r="52" spans="7:55" x14ac:dyDescent="0.3">
      <c r="G52" s="53">
        <v>5</v>
      </c>
      <c r="H52" s="53">
        <v>193.72025817180202</v>
      </c>
      <c r="I52" s="53">
        <v>-32.600258171802011</v>
      </c>
      <c r="Q52" s="9">
        <v>5</v>
      </c>
      <c r="R52" s="9">
        <v>195.39741623228812</v>
      </c>
      <c r="S52" s="9">
        <v>-34.277416232288118</v>
      </c>
      <c r="T52"/>
      <c r="U52"/>
      <c r="V52"/>
      <c r="W52"/>
      <c r="X52"/>
      <c r="Y52"/>
      <c r="AA52" s="9">
        <v>5</v>
      </c>
      <c r="AB52" s="9">
        <v>5.2728179676286331</v>
      </c>
      <c r="AC52" s="9">
        <v>-0.19066853865838063</v>
      </c>
      <c r="AD52"/>
      <c r="AE52"/>
      <c r="AF52"/>
      <c r="AG52"/>
      <c r="AH52"/>
      <c r="AI52"/>
      <c r="AK52" s="9">
        <v>5</v>
      </c>
      <c r="AL52" s="9">
        <v>5.2763773051248561</v>
      </c>
      <c r="AM52" s="9">
        <v>-0.19422787615460368</v>
      </c>
      <c r="AN52"/>
      <c r="AO52"/>
      <c r="AP52"/>
      <c r="AQ52"/>
      <c r="AR52"/>
      <c r="AS52"/>
      <c r="AU52" s="9">
        <v>5</v>
      </c>
      <c r="AV52" s="9">
        <v>194.92800805453425</v>
      </c>
      <c r="AW52" s="9">
        <v>-33.808008054534241</v>
      </c>
      <c r="AX52"/>
      <c r="AY52"/>
      <c r="AZ52"/>
      <c r="BA52"/>
      <c r="BB52"/>
      <c r="BC52"/>
    </row>
    <row r="53" spans="7:55" x14ac:dyDescent="0.3">
      <c r="G53" s="53">
        <v>6</v>
      </c>
      <c r="H53" s="53">
        <v>169.43697821473731</v>
      </c>
      <c r="I53" s="53">
        <v>-4.3069782147373132</v>
      </c>
      <c r="Q53" s="9">
        <v>6</v>
      </c>
      <c r="R53" s="9">
        <v>165.2604175904163</v>
      </c>
      <c r="S53" s="9">
        <v>-0.1304175904163003</v>
      </c>
      <c r="T53"/>
      <c r="U53"/>
      <c r="V53"/>
      <c r="W53"/>
      <c r="X53"/>
      <c r="Y53"/>
      <c r="AA53" s="9">
        <v>6</v>
      </c>
      <c r="AB53" s="9">
        <v>5.0981611682802583</v>
      </c>
      <c r="AC53" s="9">
        <v>8.5718741946383403E-3</v>
      </c>
      <c r="AD53"/>
      <c r="AE53"/>
      <c r="AF53"/>
      <c r="AG53"/>
      <c r="AH53"/>
      <c r="AI53"/>
      <c r="AK53" s="9">
        <v>6</v>
      </c>
      <c r="AL53" s="9">
        <v>5.0818436399305824</v>
      </c>
      <c r="AM53" s="9">
        <v>2.4889402544314265E-2</v>
      </c>
      <c r="AN53"/>
      <c r="AO53"/>
      <c r="AP53"/>
      <c r="AQ53"/>
      <c r="AR53"/>
      <c r="AS53"/>
      <c r="AU53" s="9">
        <v>6</v>
      </c>
      <c r="AV53" s="9">
        <v>166.64781030964565</v>
      </c>
      <c r="AW53" s="9">
        <v>-1.5178103096456539</v>
      </c>
      <c r="AX53"/>
      <c r="AY53"/>
      <c r="AZ53"/>
      <c r="BA53"/>
      <c r="BB53"/>
      <c r="BC53"/>
    </row>
    <row r="54" spans="7:55" x14ac:dyDescent="0.3">
      <c r="G54" s="53">
        <v>7</v>
      </c>
      <c r="H54" s="53">
        <v>175.1382700307438</v>
      </c>
      <c r="I54" s="53">
        <v>-5.1382700307437972</v>
      </c>
      <c r="Q54" s="9">
        <v>7</v>
      </c>
      <c r="R54" s="9">
        <v>171.5817570643672</v>
      </c>
      <c r="S54" s="9">
        <v>-1.5817570643671957</v>
      </c>
      <c r="T54"/>
      <c r="U54"/>
      <c r="V54"/>
      <c r="W54"/>
      <c r="X54"/>
      <c r="Y54"/>
      <c r="AA54" s="9">
        <v>7</v>
      </c>
      <c r="AB54" s="9">
        <v>5.1360713948128325</v>
      </c>
      <c r="AC54" s="9">
        <v>-2.7295776257041382E-4</v>
      </c>
      <c r="AD54"/>
      <c r="AE54"/>
      <c r="AF54"/>
      <c r="AG54"/>
      <c r="AH54"/>
      <c r="AI54"/>
      <c r="AK54" s="9">
        <v>7</v>
      </c>
      <c r="AL54" s="9">
        <v>5.1207503729694368</v>
      </c>
      <c r="AM54" s="9">
        <v>1.5048064080825263E-2</v>
      </c>
      <c r="AN54"/>
      <c r="AO54"/>
      <c r="AP54"/>
      <c r="AQ54"/>
      <c r="AR54"/>
      <c r="AS54"/>
      <c r="AU54" s="9">
        <v>7</v>
      </c>
      <c r="AV54" s="9">
        <v>172.7861840053427</v>
      </c>
      <c r="AW54" s="9">
        <v>-2.7861840053427045</v>
      </c>
      <c r="AX54"/>
      <c r="AY54"/>
      <c r="AZ54"/>
      <c r="BA54"/>
      <c r="BB54"/>
      <c r="BC54"/>
    </row>
    <row r="55" spans="7:55" x14ac:dyDescent="0.3">
      <c r="G55" s="53">
        <v>8</v>
      </c>
      <c r="H55" s="53">
        <v>180.36445419541644</v>
      </c>
      <c r="I55" s="53">
        <v>-5.9444541954164549</v>
      </c>
      <c r="Q55" s="9">
        <v>8</v>
      </c>
      <c r="R55" s="9">
        <v>177.75612666552982</v>
      </c>
      <c r="S55" s="9">
        <v>-3.3361266655298323</v>
      </c>
      <c r="T55"/>
      <c r="U55"/>
      <c r="V55"/>
      <c r="W55"/>
      <c r="X55"/>
      <c r="Y55"/>
      <c r="AA55" s="9">
        <v>8</v>
      </c>
      <c r="AB55" s="9">
        <v>5.1723679223393733</v>
      </c>
      <c r="AC55" s="9">
        <v>-1.0901738540534112E-2</v>
      </c>
      <c r="AD55"/>
      <c r="AE55"/>
      <c r="AF55"/>
      <c r="AG55"/>
      <c r="AH55"/>
      <c r="AI55"/>
      <c r="AK55" s="9">
        <v>8</v>
      </c>
      <c r="AL55" s="9">
        <v>5.1596571060082921</v>
      </c>
      <c r="AM55" s="9">
        <v>1.8090777905470645E-3</v>
      </c>
      <c r="AN55"/>
      <c r="AO55"/>
      <c r="AP55"/>
      <c r="AQ55"/>
      <c r="AR55"/>
      <c r="AS55"/>
      <c r="AU55" s="9">
        <v>8</v>
      </c>
      <c r="AV55" s="9">
        <v>178.66326969415087</v>
      </c>
      <c r="AW55" s="9">
        <v>-4.2432696941508823</v>
      </c>
      <c r="AX55"/>
      <c r="AY55"/>
      <c r="AZ55"/>
      <c r="BA55"/>
      <c r="BB55"/>
      <c r="BC55"/>
    </row>
    <row r="56" spans="7:55" x14ac:dyDescent="0.3">
      <c r="G56" s="53">
        <v>9</v>
      </c>
      <c r="H56" s="53">
        <v>180.36445419541644</v>
      </c>
      <c r="I56" s="53">
        <v>-4.9144541954164538</v>
      </c>
      <c r="Q56" s="9">
        <v>9</v>
      </c>
      <c r="R56" s="9">
        <v>177.75612666552982</v>
      </c>
      <c r="S56" s="9">
        <v>-2.3061266655298311</v>
      </c>
      <c r="T56"/>
      <c r="U56"/>
      <c r="V56"/>
      <c r="W56"/>
      <c r="X56"/>
      <c r="Y56"/>
      <c r="AA56" s="9">
        <v>9</v>
      </c>
      <c r="AB56" s="9">
        <v>5.1723679223393733</v>
      </c>
      <c r="AC56" s="9">
        <v>-5.0138203101495193E-3</v>
      </c>
      <c r="AD56"/>
      <c r="AE56"/>
      <c r="AF56"/>
      <c r="AG56"/>
      <c r="AH56"/>
      <c r="AI56"/>
      <c r="AK56" s="9">
        <v>9</v>
      </c>
      <c r="AL56" s="9">
        <v>5.1596571060082921</v>
      </c>
      <c r="AM56" s="9">
        <v>7.6969960209316568E-3</v>
      </c>
      <c r="AN56"/>
      <c r="AO56"/>
      <c r="AP56"/>
      <c r="AQ56"/>
      <c r="AR56"/>
      <c r="AS56"/>
      <c r="AU56" s="9">
        <v>9</v>
      </c>
      <c r="AV56" s="9">
        <v>178.66326969415087</v>
      </c>
      <c r="AW56" s="9">
        <v>-3.2132696941508812</v>
      </c>
      <c r="AX56"/>
      <c r="AY56"/>
      <c r="AZ56"/>
      <c r="BA56"/>
      <c r="BB56"/>
      <c r="BC56"/>
    </row>
    <row r="57" spans="7:55" x14ac:dyDescent="0.3">
      <c r="G57" s="53">
        <v>10</v>
      </c>
      <c r="H57" s="53">
        <v>193.72025817180202</v>
      </c>
      <c r="I57" s="53">
        <v>-16.240258171802026</v>
      </c>
      <c r="Q57" s="9">
        <v>10</v>
      </c>
      <c r="R57" s="9">
        <v>195.39741623228812</v>
      </c>
      <c r="S57" s="9">
        <v>-17.917416232288133</v>
      </c>
      <c r="T57"/>
      <c r="U57"/>
      <c r="V57"/>
      <c r="W57"/>
      <c r="X57"/>
      <c r="Y57"/>
      <c r="AA57" s="9">
        <v>10</v>
      </c>
      <c r="AB57" s="9">
        <v>5.2728179676286331</v>
      </c>
      <c r="AC57" s="9">
        <v>-9.396004111792422E-2</v>
      </c>
      <c r="AD57"/>
      <c r="AE57"/>
      <c r="AF57"/>
      <c r="AG57"/>
      <c r="AH57"/>
      <c r="AI57"/>
      <c r="AK57" s="9">
        <v>10</v>
      </c>
      <c r="AL57" s="9">
        <v>5.2763773051248561</v>
      </c>
      <c r="AM57" s="9">
        <v>-9.7519378614147278E-2</v>
      </c>
      <c r="AN57"/>
      <c r="AO57"/>
      <c r="AP57"/>
      <c r="AQ57"/>
      <c r="AR57"/>
      <c r="AS57"/>
      <c r="AU57" s="9">
        <v>10</v>
      </c>
      <c r="AV57" s="9">
        <v>194.92800805453425</v>
      </c>
      <c r="AW57" s="9">
        <v>-17.448008054534256</v>
      </c>
      <c r="AX57"/>
      <c r="AY57"/>
      <c r="AZ57"/>
      <c r="BA57"/>
      <c r="BB57"/>
      <c r="BC57"/>
    </row>
    <row r="58" spans="7:55" x14ac:dyDescent="0.3">
      <c r="G58" s="53">
        <v>11</v>
      </c>
      <c r="H58" s="53">
        <v>169.43697821473731</v>
      </c>
      <c r="I58" s="53">
        <v>21.183021785262696</v>
      </c>
      <c r="Q58" s="9">
        <v>11</v>
      </c>
      <c r="R58" s="9">
        <v>165.2604175904163</v>
      </c>
      <c r="S58" s="9">
        <v>25.359582409583709</v>
      </c>
      <c r="T58"/>
      <c r="U58"/>
      <c r="V58"/>
      <c r="W58"/>
      <c r="X58"/>
      <c r="Y58"/>
      <c r="AA58" s="9">
        <v>11</v>
      </c>
      <c r="AB58" s="9">
        <v>5.0981611682802583</v>
      </c>
      <c r="AC58" s="9">
        <v>0.15212074922922181</v>
      </c>
      <c r="AD58"/>
      <c r="AE58"/>
      <c r="AF58"/>
      <c r="AG58"/>
      <c r="AH58"/>
      <c r="AI58"/>
      <c r="AK58" s="9">
        <v>11</v>
      </c>
      <c r="AL58" s="9">
        <v>5.0818436399305824</v>
      </c>
      <c r="AM58" s="9">
        <v>0.16843827757889773</v>
      </c>
      <c r="AN58"/>
      <c r="AO58"/>
      <c r="AP58"/>
      <c r="AQ58"/>
      <c r="AR58"/>
      <c r="AS58"/>
      <c r="AU58" s="9">
        <v>11</v>
      </c>
      <c r="AV58" s="9">
        <v>166.64781030964565</v>
      </c>
      <c r="AW58" s="9">
        <v>23.972189690354355</v>
      </c>
      <c r="AX58"/>
      <c r="AY58"/>
      <c r="AZ58"/>
      <c r="BA58"/>
      <c r="BB58"/>
      <c r="BC58"/>
    </row>
    <row r="59" spans="7:55" x14ac:dyDescent="0.3">
      <c r="G59" s="53">
        <v>12</v>
      </c>
      <c r="H59" s="53">
        <v>193.72025817180202</v>
      </c>
      <c r="I59" s="53">
        <v>3.6197418281979878</v>
      </c>
      <c r="Q59" s="9">
        <v>12</v>
      </c>
      <c r="R59" s="9">
        <v>195.39741623228812</v>
      </c>
      <c r="S59" s="9">
        <v>1.9425837677118807</v>
      </c>
      <c r="T59"/>
      <c r="U59"/>
      <c r="V59"/>
      <c r="W59"/>
      <c r="X59"/>
      <c r="Y59"/>
      <c r="AA59" s="9">
        <v>12</v>
      </c>
      <c r="AB59" s="9">
        <v>5.2728179676286331</v>
      </c>
      <c r="AC59" s="9">
        <v>1.2110161800387154E-2</v>
      </c>
      <c r="AD59"/>
      <c r="AE59"/>
      <c r="AF59"/>
      <c r="AG59"/>
      <c r="AH59"/>
      <c r="AI59"/>
      <c r="AK59" s="9">
        <v>12</v>
      </c>
      <c r="AL59" s="9">
        <v>5.2763773051248561</v>
      </c>
      <c r="AM59" s="9">
        <v>8.5508243041640952E-3</v>
      </c>
      <c r="AN59"/>
      <c r="AO59"/>
      <c r="AP59"/>
      <c r="AQ59"/>
      <c r="AR59"/>
      <c r="AS59"/>
      <c r="AU59" s="9">
        <v>12</v>
      </c>
      <c r="AV59" s="9">
        <v>194.92800805453425</v>
      </c>
      <c r="AW59" s="9">
        <v>2.4119919454657577</v>
      </c>
      <c r="AX59"/>
      <c r="AY59"/>
      <c r="AZ59"/>
      <c r="BA59"/>
      <c r="BB59"/>
      <c r="BC59"/>
    </row>
    <row r="60" spans="7:55" x14ac:dyDescent="0.3">
      <c r="G60" s="53">
        <v>13</v>
      </c>
      <c r="H60" s="53">
        <v>197.53620216505504</v>
      </c>
      <c r="I60" s="53">
        <v>5.7437978349449565</v>
      </c>
      <c r="Q60" s="9">
        <v>13</v>
      </c>
      <c r="R60" s="9">
        <v>200.9839063422977</v>
      </c>
      <c r="S60" s="9">
        <v>2.2960936577023006</v>
      </c>
      <c r="T60"/>
      <c r="U60"/>
      <c r="V60"/>
      <c r="W60"/>
      <c r="X60"/>
      <c r="Y60"/>
      <c r="AA60" s="9">
        <v>13</v>
      </c>
      <c r="AB60" s="9">
        <v>5.3038337372907911</v>
      </c>
      <c r="AC60" s="9">
        <v>1.0750601721117192E-2</v>
      </c>
      <c r="AD60"/>
      <c r="AE60"/>
      <c r="AF60"/>
      <c r="AG60"/>
      <c r="AH60"/>
      <c r="AI60"/>
      <c r="AK60" s="9">
        <v>13</v>
      </c>
      <c r="AL60" s="9">
        <v>5.3152840381637114</v>
      </c>
      <c r="AM60" s="9">
        <v>-6.996991518031237E-4</v>
      </c>
      <c r="AN60"/>
      <c r="AO60"/>
      <c r="AP60"/>
      <c r="AQ60"/>
      <c r="AR60"/>
      <c r="AS60"/>
      <c r="AU60" s="9">
        <v>13</v>
      </c>
      <c r="AV60" s="9">
        <v>199.95004042045537</v>
      </c>
      <c r="AW60" s="9">
        <v>3.3299595795446351</v>
      </c>
      <c r="AX60"/>
      <c r="AY60"/>
      <c r="AZ60"/>
      <c r="BA60"/>
      <c r="BB60"/>
      <c r="BC60"/>
    </row>
    <row r="61" spans="7:55" x14ac:dyDescent="0.3">
      <c r="G61" s="53">
        <v>14</v>
      </c>
      <c r="H61" s="53">
        <v>197.53620216505504</v>
      </c>
      <c r="I61" s="53">
        <v>9.7037978349449645</v>
      </c>
      <c r="Q61" s="9">
        <v>14</v>
      </c>
      <c r="R61" s="9">
        <v>200.9839063422977</v>
      </c>
      <c r="S61" s="9">
        <v>6.2560936577023085</v>
      </c>
      <c r="T61"/>
      <c r="U61"/>
      <c r="V61"/>
      <c r="W61"/>
      <c r="X61"/>
      <c r="Y61"/>
      <c r="AA61" s="9">
        <v>14</v>
      </c>
      <c r="AB61" s="9">
        <v>5.3038337372907911</v>
      </c>
      <c r="AC61" s="9">
        <v>3.0043804655796258E-2</v>
      </c>
      <c r="AD61"/>
      <c r="AE61"/>
      <c r="AF61"/>
      <c r="AG61"/>
      <c r="AH61"/>
      <c r="AI61"/>
      <c r="AK61" s="9">
        <v>14</v>
      </c>
      <c r="AL61" s="9">
        <v>5.3152840381637114</v>
      </c>
      <c r="AM61" s="9">
        <v>1.8593503782875942E-2</v>
      </c>
      <c r="AN61"/>
      <c r="AO61"/>
      <c r="AP61"/>
      <c r="AQ61"/>
      <c r="AR61"/>
      <c r="AS61"/>
      <c r="AU61" s="9">
        <v>14</v>
      </c>
      <c r="AV61" s="9">
        <v>199.95004042045537</v>
      </c>
      <c r="AW61" s="9">
        <v>7.289959579544643</v>
      </c>
      <c r="AX61"/>
      <c r="AY61"/>
      <c r="AZ61"/>
      <c r="BA61"/>
      <c r="BB61"/>
      <c r="BC61"/>
    </row>
    <row r="62" spans="7:55" ht="15" thickBot="1" x14ac:dyDescent="0.35">
      <c r="G62" s="54">
        <v>15</v>
      </c>
      <c r="H62" s="54">
        <v>197.53620216505504</v>
      </c>
      <c r="I62" s="54">
        <v>33.743797834944957</v>
      </c>
      <c r="Q62" s="10">
        <v>15</v>
      </c>
      <c r="R62" s="10">
        <v>200.9839063422977</v>
      </c>
      <c r="S62" s="10">
        <v>30.296093657702301</v>
      </c>
      <c r="T62"/>
      <c r="U62"/>
      <c r="V62"/>
      <c r="W62"/>
      <c r="X62"/>
      <c r="Y62"/>
      <c r="AA62" s="10">
        <v>15</v>
      </c>
      <c r="AB62" s="10">
        <v>5.3038337372907911</v>
      </c>
      <c r="AC62" s="10">
        <v>0.1397953604172999</v>
      </c>
      <c r="AD62"/>
      <c r="AE62"/>
      <c r="AF62"/>
      <c r="AG62"/>
      <c r="AH62"/>
      <c r="AI62"/>
      <c r="AK62" s="10">
        <v>15</v>
      </c>
      <c r="AL62" s="10">
        <v>5.3152840381637114</v>
      </c>
      <c r="AM62" s="10">
        <v>0.12834505954437958</v>
      </c>
      <c r="AN62"/>
      <c r="AO62"/>
      <c r="AP62"/>
      <c r="AQ62"/>
      <c r="AR62"/>
      <c r="AS62"/>
      <c r="AU62" s="10">
        <v>15</v>
      </c>
      <c r="AV62" s="10">
        <v>199.95004042045537</v>
      </c>
      <c r="AW62" s="10">
        <v>31.329959579544635</v>
      </c>
      <c r="AX62"/>
      <c r="AY62"/>
      <c r="AZ62"/>
      <c r="BA62"/>
      <c r="BB62"/>
      <c r="BC62"/>
    </row>
    <row r="63" spans="7:55" x14ac:dyDescent="0.3">
      <c r="T63"/>
      <c r="U63"/>
      <c r="V63"/>
      <c r="W63"/>
      <c r="X63"/>
      <c r="Y63"/>
    </row>
  </sheetData>
  <mergeCells count="6">
    <mergeCell ref="AA3:AE3"/>
    <mergeCell ref="AK3:AO3"/>
    <mergeCell ref="AU3:AX3"/>
    <mergeCell ref="B3:E3"/>
    <mergeCell ref="G3:J3"/>
    <mergeCell ref="Q3:U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F5BD6-A482-4C46-8812-1851D06E4784}">
  <sheetPr codeName="Лист7">
    <tabColor theme="5" tint="0.79998168889431442"/>
  </sheetPr>
  <dimension ref="A1:G41"/>
  <sheetViews>
    <sheetView zoomScale="106" workbookViewId="0">
      <selection activeCell="C21" sqref="C21"/>
    </sheetView>
  </sheetViews>
  <sheetFormatPr defaultRowHeight="14.4" x14ac:dyDescent="0.3"/>
  <cols>
    <col min="1" max="1" width="44.33203125" customWidth="1"/>
    <col min="2" max="2" width="14.33203125" bestFit="1" customWidth="1"/>
    <col min="3" max="3" width="13.5546875" customWidth="1"/>
  </cols>
  <sheetData>
    <row r="1" spans="1:3" ht="22.2" customHeight="1" x14ac:dyDescent="0.3">
      <c r="A1" s="185" t="s">
        <v>165</v>
      </c>
      <c r="B1" s="185"/>
      <c r="C1" s="185"/>
    </row>
    <row r="2" spans="1:3" x14ac:dyDescent="0.3">
      <c r="A2" t="s">
        <v>168</v>
      </c>
      <c r="B2" t="s">
        <v>143</v>
      </c>
      <c r="C2" t="s">
        <v>169</v>
      </c>
    </row>
    <row r="3" spans="1:3" ht="15.6" x14ac:dyDescent="0.35">
      <c r="A3" t="s">
        <v>167</v>
      </c>
      <c r="B3">
        <f>'З-1. Данные'!R22/SQRT('З-1. Данные'!N22*'З-1. Данные'!O22)</f>
        <v>0.63219504059144993</v>
      </c>
      <c r="C3" t="s">
        <v>170</v>
      </c>
    </row>
    <row r="7" spans="1:3" ht="22.2" customHeight="1" x14ac:dyDescent="0.3">
      <c r="A7" s="186" t="s">
        <v>171</v>
      </c>
      <c r="B7" s="186"/>
      <c r="C7" s="186"/>
    </row>
    <row r="8" spans="1:3" x14ac:dyDescent="0.3">
      <c r="A8" s="187" t="s">
        <v>172</v>
      </c>
      <c r="B8" s="187"/>
      <c r="C8" s="187"/>
    </row>
    <row r="9" spans="1:3" x14ac:dyDescent="0.3">
      <c r="A9" t="s">
        <v>168</v>
      </c>
      <c r="B9" t="s">
        <v>143</v>
      </c>
      <c r="C9" t="s">
        <v>169</v>
      </c>
    </row>
    <row r="10" spans="1:3" ht="15.6" x14ac:dyDescent="0.35">
      <c r="A10" t="s">
        <v>173</v>
      </c>
      <c r="B10">
        <f>'З-1. Данные'!S22 / SQRT('З-1. Данные'!M22*'З-1. Данные'!N22)</f>
        <v>0.77631929857033932</v>
      </c>
      <c r="C10" t="s">
        <v>179</v>
      </c>
    </row>
    <row r="11" spans="1:3" ht="15.6" x14ac:dyDescent="0.35">
      <c r="A11" t="s">
        <v>174</v>
      </c>
      <c r="B11">
        <f>'З-1. Данные'!T22 / SQRT('З-1. Данные'!M22*'З-1. Данные'!O22)</f>
        <v>0.86566521634445448</v>
      </c>
      <c r="C11" t="s">
        <v>180</v>
      </c>
    </row>
    <row r="14" spans="1:3" x14ac:dyDescent="0.3">
      <c r="A14" s="184" t="s">
        <v>183</v>
      </c>
      <c r="B14" s="184"/>
      <c r="C14" s="184"/>
    </row>
    <row r="15" spans="1:3" x14ac:dyDescent="0.3">
      <c r="A15" t="s">
        <v>168</v>
      </c>
      <c r="B15" t="s">
        <v>143</v>
      </c>
      <c r="C15" t="s">
        <v>169</v>
      </c>
    </row>
    <row r="16" spans="1:3" ht="15.6" x14ac:dyDescent="0.35">
      <c r="A16" t="s">
        <v>177</v>
      </c>
      <c r="B16">
        <f xml:space="preserve"> (B10 - B11 * B3) / SQRT((1 - B11^2) * (1 - B3^2))</f>
        <v>0.59050619874619803</v>
      </c>
      <c r="C16" t="s">
        <v>181</v>
      </c>
    </row>
    <row r="17" spans="1:7" ht="15.6" x14ac:dyDescent="0.35">
      <c r="A17" t="s">
        <v>178</v>
      </c>
      <c r="B17">
        <f xml:space="preserve"> (B11 - B10 * B3) / SQRT((1 - B10^2) * (1 - B3^2))</f>
        <v>0.76757829502560559</v>
      </c>
      <c r="C17" t="s">
        <v>182</v>
      </c>
    </row>
    <row r="19" spans="1:7" x14ac:dyDescent="0.3">
      <c r="A19" s="184" t="s">
        <v>184</v>
      </c>
      <c r="B19" s="184"/>
      <c r="C19" s="184"/>
    </row>
    <row r="20" spans="1:7" x14ac:dyDescent="0.3">
      <c r="A20" t="s">
        <v>168</v>
      </c>
      <c r="B20" t="s">
        <v>187</v>
      </c>
      <c r="C20" t="s">
        <v>188</v>
      </c>
      <c r="D20" t="s">
        <v>169</v>
      </c>
    </row>
    <row r="21" spans="1:7" ht="15.6" x14ac:dyDescent="0.35">
      <c r="A21" t="s">
        <v>185</v>
      </c>
      <c r="B21">
        <f>B16^2</f>
        <v>0.34869757075768432</v>
      </c>
      <c r="C21">
        <f>('З-1. Данные'!Q22 - 'З-1. Данные'!V22) / 'З-1. Данные'!Q22</f>
        <v>0.34869757075768426</v>
      </c>
      <c r="D21" t="s">
        <v>194</v>
      </c>
    </row>
    <row r="22" spans="1:7" ht="15.6" x14ac:dyDescent="0.35">
      <c r="A22" t="s">
        <v>186</v>
      </c>
      <c r="B22">
        <f>B17^2</f>
        <v>0.58917643899441563</v>
      </c>
      <c r="C22">
        <f>('З-1. Данные'!P22-'З-1. Данные'!V22) / 'З-1. Данные'!P22</f>
        <v>0.58917643899441585</v>
      </c>
      <c r="D22" t="s">
        <v>195</v>
      </c>
    </row>
    <row r="26" spans="1:7" x14ac:dyDescent="0.3">
      <c r="A26" s="182" t="s">
        <v>203</v>
      </c>
      <c r="B26" s="182"/>
      <c r="C26" s="182"/>
      <c r="D26" s="182"/>
      <c r="E26" s="182"/>
      <c r="F26" s="182"/>
      <c r="G26" s="182"/>
    </row>
    <row r="27" spans="1:7" x14ac:dyDescent="0.3">
      <c r="B27" t="s">
        <v>35</v>
      </c>
      <c r="C27" t="s">
        <v>36</v>
      </c>
      <c r="D27" t="s">
        <v>37</v>
      </c>
      <c r="E27" t="s">
        <v>196</v>
      </c>
      <c r="F27" t="s">
        <v>202</v>
      </c>
      <c r="G27" t="s">
        <v>15</v>
      </c>
    </row>
    <row r="28" spans="1:7" x14ac:dyDescent="0.3">
      <c r="A28" s="9" t="s">
        <v>31</v>
      </c>
      <c r="B28" s="9">
        <v>2</v>
      </c>
      <c r="C28" s="9">
        <v>11485.6746228147</v>
      </c>
      <c r="D28" s="9">
        <v>5742.8373114073611</v>
      </c>
      <c r="E28" s="9">
        <v>30.757533148349879</v>
      </c>
      <c r="F28" s="9">
        <v>1.8916002248434074E-5</v>
      </c>
      <c r="G28" t="s">
        <v>204</v>
      </c>
    </row>
    <row r="29" spans="1:7" x14ac:dyDescent="0.3">
      <c r="A29" s="9" t="s">
        <v>32</v>
      </c>
      <c r="B29" s="9">
        <v>12</v>
      </c>
      <c r="C29" s="9">
        <v>2240.5583505186119</v>
      </c>
      <c r="D29" s="9">
        <v>186.713195876551</v>
      </c>
      <c r="E29" s="9"/>
      <c r="F29" s="9"/>
    </row>
    <row r="32" spans="1:7" x14ac:dyDescent="0.3">
      <c r="A32" s="183" t="s">
        <v>199</v>
      </c>
      <c r="B32" s="183"/>
      <c r="C32" s="183"/>
      <c r="D32" s="183"/>
      <c r="E32" s="183"/>
      <c r="F32" s="183"/>
    </row>
    <row r="33" spans="1:6" x14ac:dyDescent="0.3">
      <c r="A33" s="184" t="s">
        <v>206</v>
      </c>
      <c r="B33" s="184"/>
      <c r="C33" s="184"/>
      <c r="D33" s="184"/>
      <c r="E33" s="184"/>
      <c r="F33" s="184"/>
    </row>
    <row r="34" spans="1:6" x14ac:dyDescent="0.3">
      <c r="B34" t="s">
        <v>143</v>
      </c>
      <c r="C34" t="s">
        <v>200</v>
      </c>
      <c r="D34" t="s">
        <v>201</v>
      </c>
      <c r="E34" t="s">
        <v>202</v>
      </c>
      <c r="F34" t="s">
        <v>15</v>
      </c>
    </row>
    <row r="35" spans="1:6" x14ac:dyDescent="0.3">
      <c r="A35" s="9" t="s">
        <v>12</v>
      </c>
      <c r="B35" s="9">
        <v>0.30286118859080036</v>
      </c>
      <c r="C35" s="9">
        <v>0.11948678820771946</v>
      </c>
      <c r="D35" s="9">
        <v>2.5346834837027945</v>
      </c>
      <c r="E35" s="9">
        <v>2.6193004737987802E-2</v>
      </c>
      <c r="F35" t="s">
        <v>59</v>
      </c>
    </row>
    <row r="36" spans="1:6" ht="15" thickBot="1" x14ac:dyDescent="0.35">
      <c r="A36" s="9" t="s">
        <v>190</v>
      </c>
      <c r="B36" s="10">
        <v>4.5785142342471961</v>
      </c>
      <c r="C36" s="10">
        <v>1.1036692217194324</v>
      </c>
      <c r="D36" s="10">
        <v>4.1484478720120697</v>
      </c>
      <c r="E36" s="10">
        <v>1.3503187750081081E-3</v>
      </c>
      <c r="F36" t="s">
        <v>205</v>
      </c>
    </row>
    <row r="38" spans="1:6" x14ac:dyDescent="0.3">
      <c r="A38" s="184" t="s">
        <v>207</v>
      </c>
      <c r="B38" s="184"/>
      <c r="C38" s="184"/>
      <c r="D38" s="184"/>
      <c r="E38" s="184"/>
      <c r="F38" s="184"/>
    </row>
    <row r="39" spans="1:6" ht="16.8" x14ac:dyDescent="0.35">
      <c r="A39" t="s">
        <v>210</v>
      </c>
      <c r="B39" t="s">
        <v>211</v>
      </c>
      <c r="C39" t="s">
        <v>212</v>
      </c>
      <c r="D39" t="s">
        <v>213</v>
      </c>
      <c r="E39" t="s">
        <v>197</v>
      </c>
      <c r="F39" t="s">
        <v>15</v>
      </c>
    </row>
    <row r="40" spans="1:6" x14ac:dyDescent="0.3">
      <c r="A40" s="9" t="s">
        <v>208</v>
      </c>
      <c r="B40">
        <f>'З-1. Данные'!V22</f>
        <v>2240.5583505186128</v>
      </c>
      <c r="C40">
        <f>'З-1. Данные'!Q22</f>
        <v>3440.1197507049642</v>
      </c>
      <c r="D40">
        <f>((C40 -B40) / 1) / (B40 / (15 - 2 - 1))</f>
        <v>6.4246203625557561</v>
      </c>
      <c r="E40">
        <f>_xlfn.F.INV.RT(0.05,1,15-2-1)</f>
        <v>4.7472253467225149</v>
      </c>
      <c r="F40" t="s">
        <v>218</v>
      </c>
    </row>
    <row r="41" spans="1:6" x14ac:dyDescent="0.3">
      <c r="A41" s="9" t="s">
        <v>209</v>
      </c>
      <c r="B41">
        <f>'З-1. Данные'!V22</f>
        <v>2240.5583505186128</v>
      </c>
      <c r="C41">
        <f>'З-1. Данные'!P22</f>
        <v>5453.8214532641132</v>
      </c>
      <c r="D41">
        <f>((C41 -B41) / 1) / (B41 / (15 - 2 - 1))</f>
        <v>17.209619746801451</v>
      </c>
    </row>
  </sheetData>
  <mergeCells count="9">
    <mergeCell ref="A26:G26"/>
    <mergeCell ref="A32:F32"/>
    <mergeCell ref="A33:F33"/>
    <mergeCell ref="A38:F38"/>
    <mergeCell ref="A1:C1"/>
    <mergeCell ref="A7:C7"/>
    <mergeCell ref="A8:C8"/>
    <mergeCell ref="A14:C14"/>
    <mergeCell ref="A19:C19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68313-FF66-4367-B2D8-FEB2694A772A}">
  <sheetPr codeName="Лист8">
    <tabColor theme="5" tint="0.79998168889431442"/>
  </sheetPr>
  <dimension ref="A1:BH119"/>
  <sheetViews>
    <sheetView topLeftCell="AQ4" zoomScale="86" workbookViewId="0">
      <selection activeCell="B34" sqref="B34"/>
    </sheetView>
  </sheetViews>
  <sheetFormatPr defaultRowHeight="14.4" x14ac:dyDescent="0.3"/>
  <cols>
    <col min="2" max="2" width="10.6640625" customWidth="1"/>
    <col min="3" max="3" width="17.33203125" customWidth="1"/>
    <col min="4" max="4" width="18.5546875" customWidth="1"/>
    <col min="5" max="5" width="12.5546875" bestFit="1" customWidth="1"/>
    <col min="6" max="6" width="12.77734375" customWidth="1"/>
    <col min="7" max="7" width="12.6640625" bestFit="1" customWidth="1"/>
    <col min="9" max="17" width="9" bestFit="1" customWidth="1"/>
    <col min="19" max="20" width="9" bestFit="1" customWidth="1"/>
    <col min="21" max="21" width="12.6640625" bestFit="1" customWidth="1"/>
    <col min="22" max="24" width="9" bestFit="1" customWidth="1"/>
    <col min="29" max="31" width="9.109375" bestFit="1" customWidth="1"/>
    <col min="32" max="33" width="9" bestFit="1" customWidth="1"/>
    <col min="34" max="34" width="11.33203125" customWidth="1"/>
    <col min="35" max="35" width="11.5546875" customWidth="1"/>
    <col min="36" max="36" width="13" bestFit="1" customWidth="1"/>
    <col min="37" max="37" width="14" customWidth="1"/>
    <col min="42" max="43" width="9.109375" bestFit="1" customWidth="1"/>
    <col min="44" max="44" width="12.88671875" bestFit="1" customWidth="1"/>
    <col min="45" max="45" width="9" bestFit="1" customWidth="1"/>
    <col min="46" max="46" width="12.44140625" bestFit="1" customWidth="1"/>
    <col min="47" max="47" width="9" bestFit="1" customWidth="1"/>
    <col min="52" max="53" width="9" bestFit="1" customWidth="1"/>
    <col min="54" max="54" width="12.88671875" bestFit="1" customWidth="1"/>
    <col min="55" max="58" width="6.88671875" customWidth="1"/>
    <col min="59" max="59" width="9" bestFit="1" customWidth="1"/>
  </cols>
  <sheetData>
    <row r="1" spans="1:59" x14ac:dyDescent="0.3">
      <c r="A1" s="1" t="s">
        <v>0</v>
      </c>
      <c r="B1" s="1"/>
      <c r="C1" s="1"/>
      <c r="D1" s="1"/>
      <c r="E1" s="1"/>
      <c r="F1" s="1"/>
      <c r="G1" s="1" t="s">
        <v>8</v>
      </c>
    </row>
    <row r="2" spans="1:59" x14ac:dyDescent="0.3">
      <c r="A2" s="1"/>
      <c r="B2" s="1"/>
      <c r="C2" s="1" t="s">
        <v>1</v>
      </c>
      <c r="D2" s="1"/>
      <c r="E2" s="1"/>
      <c r="F2" s="1"/>
      <c r="G2" s="1" t="s">
        <v>6</v>
      </c>
    </row>
    <row r="3" spans="1:59" x14ac:dyDescent="0.3">
      <c r="A3" s="1"/>
      <c r="B3" s="1"/>
      <c r="C3" s="1" t="s">
        <v>2</v>
      </c>
      <c r="D3" s="1"/>
      <c r="E3" s="1"/>
      <c r="F3" s="1"/>
      <c r="G3" s="1" t="s">
        <v>7</v>
      </c>
    </row>
    <row r="4" spans="1:59" x14ac:dyDescent="0.3">
      <c r="A4" s="1"/>
      <c r="B4" s="1"/>
      <c r="C4" s="1"/>
      <c r="D4" s="1"/>
      <c r="E4" s="1"/>
      <c r="F4" s="1"/>
    </row>
    <row r="5" spans="1:59" ht="18" x14ac:dyDescent="0.35">
      <c r="A5" s="1"/>
      <c r="B5" s="99" t="s">
        <v>300</v>
      </c>
      <c r="C5" s="1"/>
      <c r="D5" s="1"/>
      <c r="E5" s="1"/>
      <c r="F5" s="1"/>
    </row>
    <row r="7" spans="1:59" ht="27" customHeight="1" thickBot="1" x14ac:dyDescent="0.35">
      <c r="B7" s="181" t="s">
        <v>220</v>
      </c>
      <c r="C7" s="181"/>
      <c r="D7" s="181"/>
      <c r="E7" s="181"/>
      <c r="F7" s="181"/>
      <c r="G7" s="181"/>
      <c r="I7" s="181" t="s">
        <v>247</v>
      </c>
      <c r="J7" s="181"/>
      <c r="K7" s="181"/>
      <c r="L7" s="181"/>
      <c r="M7" s="181"/>
      <c r="N7" s="181"/>
      <c r="S7" s="181" t="s">
        <v>262</v>
      </c>
      <c r="T7" s="181"/>
      <c r="U7" s="181"/>
      <c r="V7" s="181"/>
      <c r="W7" s="181"/>
      <c r="X7" s="181"/>
      <c r="AC7" s="188" t="s">
        <v>279</v>
      </c>
      <c r="AD7" s="188"/>
      <c r="AE7" s="188"/>
      <c r="AF7" s="188"/>
      <c r="AG7" s="188"/>
      <c r="AH7" s="188"/>
      <c r="AI7" s="188"/>
      <c r="AJ7" s="188"/>
      <c r="AK7" s="188"/>
      <c r="AP7" s="188" t="s">
        <v>284</v>
      </c>
      <c r="AQ7" s="188"/>
      <c r="AR7" s="188"/>
      <c r="AS7" s="188"/>
      <c r="AT7" s="188"/>
      <c r="AU7" s="188"/>
      <c r="AZ7" s="188" t="s">
        <v>287</v>
      </c>
      <c r="BA7" s="188"/>
      <c r="BB7" s="188"/>
      <c r="BC7" s="188"/>
      <c r="BD7" s="188"/>
      <c r="BE7" s="188"/>
      <c r="BF7" s="188"/>
      <c r="BG7" s="188"/>
    </row>
    <row r="8" spans="1:59" ht="72" x14ac:dyDescent="0.3">
      <c r="B8" s="45" t="s">
        <v>4</v>
      </c>
      <c r="C8" s="40" t="s">
        <v>162</v>
      </c>
      <c r="D8" s="41" t="s">
        <v>158</v>
      </c>
      <c r="E8" s="42" t="s">
        <v>222</v>
      </c>
      <c r="F8" s="15" t="s">
        <v>246</v>
      </c>
      <c r="G8" s="17" t="s">
        <v>302</v>
      </c>
      <c r="I8" s="45" t="s">
        <v>4</v>
      </c>
      <c r="J8" s="92" t="s">
        <v>162</v>
      </c>
      <c r="K8" s="92" t="s">
        <v>158</v>
      </c>
      <c r="L8" s="93" t="s">
        <v>251</v>
      </c>
      <c r="M8" s="97" t="s">
        <v>252</v>
      </c>
      <c r="N8" s="46" t="s">
        <v>253</v>
      </c>
      <c r="S8" s="45" t="s">
        <v>4</v>
      </c>
      <c r="T8" s="40" t="s">
        <v>232</v>
      </c>
      <c r="U8" s="89" t="s">
        <v>263</v>
      </c>
      <c r="V8" s="40" t="s">
        <v>264</v>
      </c>
      <c r="W8" s="41" t="s">
        <v>265</v>
      </c>
      <c r="X8" s="45" t="s">
        <v>266</v>
      </c>
      <c r="AC8" s="47" t="s">
        <v>4</v>
      </c>
      <c r="AD8" s="94" t="s">
        <v>162</v>
      </c>
      <c r="AE8" s="94" t="s">
        <v>158</v>
      </c>
      <c r="AF8" s="95" t="s">
        <v>251</v>
      </c>
      <c r="AG8" s="47" t="s">
        <v>252</v>
      </c>
      <c r="AH8" s="96" t="s">
        <v>275</v>
      </c>
      <c r="AI8" s="96" t="s">
        <v>274</v>
      </c>
      <c r="AJ8" s="85" t="s">
        <v>263</v>
      </c>
      <c r="AK8" s="39" t="s">
        <v>276</v>
      </c>
      <c r="AP8" s="47" t="s">
        <v>4</v>
      </c>
      <c r="AQ8" s="91" t="s">
        <v>253</v>
      </c>
      <c r="AR8" s="85" t="s">
        <v>263</v>
      </c>
      <c r="AS8" s="49" t="s">
        <v>278</v>
      </c>
      <c r="AT8" s="47" t="s">
        <v>272</v>
      </c>
      <c r="AU8" s="37" t="s">
        <v>280</v>
      </c>
      <c r="AZ8" s="47" t="s">
        <v>4</v>
      </c>
      <c r="BA8" s="91" t="s">
        <v>253</v>
      </c>
      <c r="BB8" s="85" t="s">
        <v>263</v>
      </c>
      <c r="BC8" s="96" t="s">
        <v>289</v>
      </c>
      <c r="BD8" s="96" t="s">
        <v>292</v>
      </c>
      <c r="BE8" s="96" t="s">
        <v>291</v>
      </c>
      <c r="BF8" s="96" t="s">
        <v>290</v>
      </c>
      <c r="BG8" s="37" t="s">
        <v>288</v>
      </c>
    </row>
    <row r="9" spans="1:59" x14ac:dyDescent="0.3">
      <c r="B9" s="47">
        <v>1</v>
      </c>
      <c r="C9" s="37">
        <v>118.56</v>
      </c>
      <c r="D9" s="38">
        <v>247</v>
      </c>
      <c r="E9" s="48">
        <v>15</v>
      </c>
      <c r="F9">
        <f>'З-6. Анализ нелинейных функций'!AD5</f>
        <v>118.0998180030453</v>
      </c>
      <c r="G9">
        <f>'З-6. Анализ нелинейных функций'!AC48</f>
        <v>3.8889793867538103E-3</v>
      </c>
      <c r="I9" s="47">
        <v>1</v>
      </c>
      <c r="J9" s="78">
        <v>118.56</v>
      </c>
      <c r="K9" s="78">
        <v>247</v>
      </c>
      <c r="L9" s="79">
        <v>15</v>
      </c>
      <c r="M9" s="83">
        <f>LN(J9)</f>
        <v>4.7754191615477763</v>
      </c>
      <c r="N9" s="83">
        <f>LN(L9)</f>
        <v>2.7080502011022101</v>
      </c>
      <c r="S9" s="47">
        <v>1</v>
      </c>
      <c r="T9" s="85">
        <f>LN($E9)</f>
        <v>2.7080502011022101</v>
      </c>
      <c r="U9" s="90">
        <f>G9</f>
        <v>3.8889793867538103E-3</v>
      </c>
      <c r="V9" s="85">
        <f>_xlfn.RANK.AVG(T9,$T$9:$T$23,1)</f>
        <v>1</v>
      </c>
      <c r="W9" s="85">
        <f>_xlfn.RANK.AVG(U9,$U$9:$U$23,1)</f>
        <v>8</v>
      </c>
      <c r="X9" s="19">
        <f>(V9-W9)^2</f>
        <v>49</v>
      </c>
      <c r="AC9" s="47">
        <v>1</v>
      </c>
      <c r="AD9" s="85">
        <v>118.56</v>
      </c>
      <c r="AE9" s="85">
        <v>247</v>
      </c>
      <c r="AF9" s="86">
        <v>15</v>
      </c>
      <c r="AG9" s="87">
        <f>LN(AD9)</f>
        <v>4.7754191615477763</v>
      </c>
      <c r="AH9" s="44">
        <f>LN(AF9)</f>
        <v>2.7080502011022101</v>
      </c>
      <c r="AI9" s="44">
        <f>AH9^2</f>
        <v>7.3335358916897206</v>
      </c>
      <c r="AJ9" s="19">
        <f>G9</f>
        <v>3.8889793867538103E-3</v>
      </c>
      <c r="AK9" s="36">
        <f>AJ9^2</f>
        <v>1.5124160670596042E-5</v>
      </c>
      <c r="AP9" s="47">
        <v>1</v>
      </c>
      <c r="AQ9" s="87">
        <f>LN($E9)</f>
        <v>2.7080502011022101</v>
      </c>
      <c r="AR9" s="19">
        <f>G9</f>
        <v>3.8889793867538103E-3</v>
      </c>
      <c r="AS9" s="44">
        <f>LN(AQ9)</f>
        <v>0.99622889295139483</v>
      </c>
      <c r="AT9" s="19">
        <f>AR9^2</f>
        <v>1.5124160670596042E-5</v>
      </c>
      <c r="AU9" s="36">
        <f>LN(AT9)</f>
        <v>-11.099217048440309</v>
      </c>
      <c r="AZ9" s="47">
        <v>1</v>
      </c>
      <c r="BA9" s="87">
        <f>LN($E9)</f>
        <v>2.7080502011022101</v>
      </c>
      <c r="BB9" s="19">
        <f>G9</f>
        <v>3.8889793867538103E-3</v>
      </c>
      <c r="BC9" s="44">
        <f t="shared" ref="BC9:BC23" si="0">BA9^(-1)</f>
        <v>0.36926937306885504</v>
      </c>
      <c r="BD9" s="44">
        <f>BA9^(-0.5)</f>
        <v>0.60767538461653603</v>
      </c>
      <c r="BE9" s="44">
        <f>BA9^(0.5)</f>
        <v>1.6456154475156735</v>
      </c>
      <c r="BF9" s="44">
        <f>BA9^(1)</f>
        <v>2.7080502011022101</v>
      </c>
      <c r="BG9" s="36">
        <f>ABS(BB9)</f>
        <v>3.8889793867538103E-3</v>
      </c>
    </row>
    <row r="10" spans="1:59" x14ac:dyDescent="0.3">
      <c r="B10" s="47">
        <v>2</v>
      </c>
      <c r="C10" s="37">
        <v>124.96</v>
      </c>
      <c r="D10" s="38">
        <v>284</v>
      </c>
      <c r="E10" s="48">
        <v>18</v>
      </c>
      <c r="F10">
        <f>'З-6. Анализ нелинейных функций'!AD6</f>
        <v>137.96792609403479</v>
      </c>
      <c r="G10">
        <f>'З-6. Анализ нелинейных функций'!AC49</f>
        <v>-9.9027552443762268E-2</v>
      </c>
      <c r="I10" s="47">
        <v>2</v>
      </c>
      <c r="J10" s="78">
        <v>124.96</v>
      </c>
      <c r="K10" s="78">
        <v>284</v>
      </c>
      <c r="L10" s="79">
        <v>18</v>
      </c>
      <c r="M10" s="83">
        <f t="shared" ref="M10:M23" si="1">LN(J10)</f>
        <v>4.8279936860913759</v>
      </c>
      <c r="N10" s="83">
        <f t="shared" ref="N10:N23" si="2">LN(L10)</f>
        <v>2.8903717578961645</v>
      </c>
      <c r="S10" s="47">
        <v>2</v>
      </c>
      <c r="T10" s="85">
        <f t="shared" ref="T10:T23" si="3">LN($E10)</f>
        <v>2.8903717578961645</v>
      </c>
      <c r="U10" s="90">
        <f t="shared" ref="U10:U23" si="4">G10</f>
        <v>-9.9027552443762268E-2</v>
      </c>
      <c r="V10" s="85">
        <f t="shared" ref="V10:V23" si="5">_xlfn.RANK.AVG(T10,$T$9:$T$23,1)</f>
        <v>2.5</v>
      </c>
      <c r="W10" s="85">
        <f t="shared" ref="W10:W23" si="6">_xlfn.RANK.AVG(U10,$U$9:$U$23,1)</f>
        <v>2</v>
      </c>
      <c r="X10" s="19">
        <f t="shared" ref="X10:X23" si="7">(V10-W10)^2</f>
        <v>0.25</v>
      </c>
      <c r="AC10" s="47">
        <v>2</v>
      </c>
      <c r="AD10" s="85">
        <v>124.96</v>
      </c>
      <c r="AE10" s="85">
        <v>284</v>
      </c>
      <c r="AF10" s="86">
        <v>18</v>
      </c>
      <c r="AG10" s="87">
        <f t="shared" ref="AG10:AG18" si="8">LN(AD10)</f>
        <v>4.8279936860913759</v>
      </c>
      <c r="AH10" s="44">
        <f t="shared" ref="AH10:AH23" si="9">LN(AF10)</f>
        <v>2.8903717578961645</v>
      </c>
      <c r="AI10" s="44">
        <f t="shared" ref="AI10:AI23" si="10">AH10^2</f>
        <v>8.354248898843764</v>
      </c>
      <c r="AJ10" s="19">
        <f t="shared" ref="AJ10:AJ23" si="11">G10</f>
        <v>-9.9027552443762268E-2</v>
      </c>
      <c r="AK10" s="36">
        <f t="shared" ref="AK10:AK23" si="12">AJ10^2</f>
        <v>9.8064561430020857E-3</v>
      </c>
      <c r="AP10" s="47">
        <v>2</v>
      </c>
      <c r="AQ10" s="87">
        <f t="shared" ref="AQ10:AQ23" si="13">LN($E10)</f>
        <v>2.8903717578961645</v>
      </c>
      <c r="AR10" s="19">
        <f t="shared" ref="AR10:AR23" si="14">G10</f>
        <v>-9.9027552443762268E-2</v>
      </c>
      <c r="AS10" s="44">
        <f t="shared" ref="AS10:AS23" si="15">LN(AQ10)</f>
        <v>1.0613851298016763</v>
      </c>
      <c r="AT10" s="19">
        <f t="shared" ref="AT10:AT23" si="16">AR10^2</f>
        <v>9.8064561430020857E-3</v>
      </c>
      <c r="AU10" s="36">
        <f t="shared" ref="AU10:AU23" si="17">LN(AT10)</f>
        <v>-4.6247143201102974</v>
      </c>
      <c r="AZ10" s="47">
        <v>2</v>
      </c>
      <c r="BA10" s="87">
        <f t="shared" ref="BA10:BA23" si="18">LN($E10)</f>
        <v>2.8903717578961645</v>
      </c>
      <c r="BB10" s="19">
        <f t="shared" ref="BB10:BB23" si="19">G10</f>
        <v>-9.9027552443762268E-2</v>
      </c>
      <c r="BC10" s="44">
        <f t="shared" si="0"/>
        <v>0.3459762562611936</v>
      </c>
      <c r="BD10" s="44">
        <f t="shared" ref="BD10:BD23" si="20">BA10^(-0.5)</f>
        <v>0.58819746366436632</v>
      </c>
      <c r="BE10" s="44">
        <f t="shared" ref="BE10:BE23" si="21">BA10^(0.5)</f>
        <v>1.70010933704164</v>
      </c>
      <c r="BF10" s="44">
        <f t="shared" ref="BF10:BF23" si="22">BA10^(1)</f>
        <v>2.8903717578961645</v>
      </c>
      <c r="BG10" s="36">
        <f t="shared" ref="BG10:BG23" si="23">ABS(BB10)</f>
        <v>9.9027552443762268E-2</v>
      </c>
    </row>
    <row r="11" spans="1:59" x14ac:dyDescent="0.3">
      <c r="B11" s="47">
        <v>3</v>
      </c>
      <c r="C11" s="37">
        <v>134.16</v>
      </c>
      <c r="D11" s="38">
        <v>258</v>
      </c>
      <c r="E11" s="48">
        <v>18</v>
      </c>
      <c r="F11">
        <f>'З-6. Анализ нелинейных функций'!AD7</f>
        <v>137.96792609403479</v>
      </c>
      <c r="G11">
        <f>'З-6. Анализ нелинейных функций'!AC50</f>
        <v>-2.7988121020184664E-2</v>
      </c>
      <c r="I11" s="47">
        <v>3</v>
      </c>
      <c r="J11" s="78">
        <v>134.16</v>
      </c>
      <c r="K11" s="78">
        <v>258</v>
      </c>
      <c r="L11" s="79">
        <v>18</v>
      </c>
      <c r="M11" s="83">
        <f t="shared" si="1"/>
        <v>4.8990331175149535</v>
      </c>
      <c r="N11" s="83">
        <f t="shared" si="2"/>
        <v>2.8903717578961645</v>
      </c>
      <c r="S11" s="47">
        <v>3</v>
      </c>
      <c r="T11" s="85">
        <f t="shared" si="3"/>
        <v>2.8903717578961645</v>
      </c>
      <c r="U11" s="90">
        <f t="shared" si="4"/>
        <v>-2.7988121020184664E-2</v>
      </c>
      <c r="V11" s="85">
        <f t="shared" si="5"/>
        <v>2.5</v>
      </c>
      <c r="W11" s="85">
        <f t="shared" si="6"/>
        <v>4</v>
      </c>
      <c r="X11" s="19">
        <f t="shared" si="7"/>
        <v>2.25</v>
      </c>
      <c r="AC11" s="47">
        <v>3</v>
      </c>
      <c r="AD11" s="85">
        <v>134.16</v>
      </c>
      <c r="AE11" s="85">
        <v>258</v>
      </c>
      <c r="AF11" s="86">
        <v>18</v>
      </c>
      <c r="AG11" s="87">
        <f t="shared" si="8"/>
        <v>4.8990331175149535</v>
      </c>
      <c r="AH11" s="44">
        <f t="shared" si="9"/>
        <v>2.8903717578961645</v>
      </c>
      <c r="AI11" s="44">
        <f t="shared" si="10"/>
        <v>8.354248898843764</v>
      </c>
      <c r="AJ11" s="19">
        <f t="shared" si="11"/>
        <v>-2.7988121020184664E-2</v>
      </c>
      <c r="AK11" s="36">
        <f t="shared" si="12"/>
        <v>7.8333491824050263E-4</v>
      </c>
      <c r="AP11" s="47">
        <v>3</v>
      </c>
      <c r="AQ11" s="87">
        <f t="shared" si="13"/>
        <v>2.8903717578961645</v>
      </c>
      <c r="AR11" s="19">
        <f t="shared" si="14"/>
        <v>-2.7988121020184664E-2</v>
      </c>
      <c r="AS11" s="44">
        <f t="shared" si="15"/>
        <v>1.0613851298016763</v>
      </c>
      <c r="AT11" s="19">
        <f t="shared" si="16"/>
        <v>7.8333491824050263E-4</v>
      </c>
      <c r="AU11" s="36">
        <f t="shared" si="17"/>
        <v>-7.1519502162104782</v>
      </c>
      <c r="AZ11" s="47">
        <v>3</v>
      </c>
      <c r="BA11" s="87">
        <f t="shared" si="18"/>
        <v>2.8903717578961645</v>
      </c>
      <c r="BB11" s="19">
        <f t="shared" si="19"/>
        <v>-2.7988121020184664E-2</v>
      </c>
      <c r="BC11" s="44">
        <f t="shared" si="0"/>
        <v>0.3459762562611936</v>
      </c>
      <c r="BD11" s="44">
        <f t="shared" si="20"/>
        <v>0.58819746366436632</v>
      </c>
      <c r="BE11" s="44">
        <f t="shared" si="21"/>
        <v>1.70010933704164</v>
      </c>
      <c r="BF11" s="44">
        <f t="shared" si="22"/>
        <v>2.8903717578961645</v>
      </c>
      <c r="BG11" s="36">
        <f t="shared" si="23"/>
        <v>2.7988121020184664E-2</v>
      </c>
    </row>
    <row r="12" spans="1:59" x14ac:dyDescent="0.3">
      <c r="B12" s="47">
        <v>4</v>
      </c>
      <c r="C12" s="37">
        <v>155.04</v>
      </c>
      <c r="D12" s="38">
        <v>323</v>
      </c>
      <c r="E12" s="48">
        <v>19</v>
      </c>
      <c r="F12">
        <f>'З-6. Анализ нелинейных функций'!AD8</f>
        <v>144.47867368337091</v>
      </c>
      <c r="G12">
        <f>'З-6. Анализ нелинейных функций'!AC51</f>
        <v>7.05512384482887E-2</v>
      </c>
      <c r="I12" s="47">
        <v>4</v>
      </c>
      <c r="J12" s="78">
        <v>155.04</v>
      </c>
      <c r="K12" s="78">
        <v>323</v>
      </c>
      <c r="L12" s="79">
        <v>19</v>
      </c>
      <c r="M12" s="83">
        <f t="shared" si="1"/>
        <v>5.0436831481424562</v>
      </c>
      <c r="N12" s="83">
        <f t="shared" si="2"/>
        <v>2.9444389791664403</v>
      </c>
      <c r="S12" s="47">
        <v>4</v>
      </c>
      <c r="T12" s="85">
        <f t="shared" si="3"/>
        <v>2.9444389791664403</v>
      </c>
      <c r="U12" s="90">
        <f t="shared" si="4"/>
        <v>7.05512384482887E-2</v>
      </c>
      <c r="V12" s="85">
        <f t="shared" si="5"/>
        <v>4</v>
      </c>
      <c r="W12" s="85">
        <f t="shared" si="6"/>
        <v>13</v>
      </c>
      <c r="X12" s="19">
        <f t="shared" si="7"/>
        <v>81</v>
      </c>
      <c r="AC12" s="47">
        <v>4</v>
      </c>
      <c r="AD12" s="85">
        <v>155.04</v>
      </c>
      <c r="AE12" s="85">
        <v>323</v>
      </c>
      <c r="AF12" s="86">
        <v>19</v>
      </c>
      <c r="AG12" s="87">
        <f t="shared" si="8"/>
        <v>5.0436831481424562</v>
      </c>
      <c r="AH12" s="44">
        <f t="shared" si="9"/>
        <v>2.9444389791664403</v>
      </c>
      <c r="AI12" s="44">
        <f t="shared" si="10"/>
        <v>8.6697209020347081</v>
      </c>
      <c r="AJ12" s="19">
        <f t="shared" si="11"/>
        <v>7.05512384482887E-2</v>
      </c>
      <c r="AK12" s="36">
        <f t="shared" si="12"/>
        <v>4.9774772465872898E-3</v>
      </c>
      <c r="AP12" s="47">
        <v>4</v>
      </c>
      <c r="AQ12" s="87">
        <f t="shared" si="13"/>
        <v>2.9444389791664403</v>
      </c>
      <c r="AR12" s="19">
        <f t="shared" si="14"/>
        <v>7.05512384482887E-2</v>
      </c>
      <c r="AS12" s="44">
        <f t="shared" si="15"/>
        <v>1.0799182995220822</v>
      </c>
      <c r="AT12" s="19">
        <f t="shared" si="16"/>
        <v>4.9774772465872898E-3</v>
      </c>
      <c r="AU12" s="36">
        <f t="shared" si="17"/>
        <v>-5.3028320932895525</v>
      </c>
      <c r="AZ12" s="47">
        <v>4</v>
      </c>
      <c r="BA12" s="87">
        <f t="shared" si="18"/>
        <v>2.9444389791664403</v>
      </c>
      <c r="BB12" s="19">
        <f t="shared" si="19"/>
        <v>7.05512384482887E-2</v>
      </c>
      <c r="BC12" s="44">
        <f t="shared" si="0"/>
        <v>0.3396232718951086</v>
      </c>
      <c r="BD12" s="44">
        <f t="shared" si="20"/>
        <v>0.58277205826558687</v>
      </c>
      <c r="BE12" s="44">
        <f t="shared" si="21"/>
        <v>1.71593676432625</v>
      </c>
      <c r="BF12" s="44">
        <f t="shared" si="22"/>
        <v>2.9444389791664403</v>
      </c>
      <c r="BG12" s="36">
        <f t="shared" si="23"/>
        <v>7.05512384482887E-2</v>
      </c>
    </row>
    <row r="13" spans="1:59" x14ac:dyDescent="0.3">
      <c r="B13" s="47">
        <v>5</v>
      </c>
      <c r="C13" s="37">
        <v>161.12</v>
      </c>
      <c r="D13" s="38">
        <v>304</v>
      </c>
      <c r="E13" s="48">
        <v>27</v>
      </c>
      <c r="F13">
        <f>'З-6. Анализ нелинейных функций'!AD9</f>
        <v>194.96459298254683</v>
      </c>
      <c r="G13">
        <f>'З-6. Анализ нелинейных функций'!AC52</f>
        <v>-0.19066853865838063</v>
      </c>
      <c r="I13" s="47">
        <v>5</v>
      </c>
      <c r="J13" s="78">
        <v>165.13</v>
      </c>
      <c r="K13" s="78">
        <v>337</v>
      </c>
      <c r="L13" s="79">
        <v>22</v>
      </c>
      <c r="M13" s="83">
        <f t="shared" si="1"/>
        <v>5.1067330424748967</v>
      </c>
      <c r="N13" s="83">
        <f t="shared" si="2"/>
        <v>3.0910424533583161</v>
      </c>
      <c r="S13" s="47">
        <v>5</v>
      </c>
      <c r="T13" s="85">
        <f t="shared" si="3"/>
        <v>3.2958368660043291</v>
      </c>
      <c r="U13" s="90">
        <f t="shared" si="4"/>
        <v>-0.19066853865838063</v>
      </c>
      <c r="V13" s="85">
        <f t="shared" si="5"/>
        <v>11</v>
      </c>
      <c r="W13" s="85">
        <f t="shared" si="6"/>
        <v>1</v>
      </c>
      <c r="X13" s="19">
        <f t="shared" si="7"/>
        <v>100</v>
      </c>
      <c r="AC13" s="47">
        <v>5</v>
      </c>
      <c r="AD13" s="85">
        <v>165.13</v>
      </c>
      <c r="AE13" s="85">
        <v>337</v>
      </c>
      <c r="AF13" s="86">
        <v>22</v>
      </c>
      <c r="AG13" s="87">
        <f t="shared" si="8"/>
        <v>5.1067330424748967</v>
      </c>
      <c r="AH13" s="44">
        <f t="shared" si="9"/>
        <v>3.0910424533583161</v>
      </c>
      <c r="AI13" s="44">
        <f t="shared" si="10"/>
        <v>9.5545434484633969</v>
      </c>
      <c r="AJ13" s="19">
        <f t="shared" si="11"/>
        <v>-0.19066853865838063</v>
      </c>
      <c r="AK13" s="36">
        <f t="shared" si="12"/>
        <v>3.6354491634122389E-2</v>
      </c>
      <c r="AP13" s="47">
        <v>5</v>
      </c>
      <c r="AQ13" s="87">
        <f t="shared" si="13"/>
        <v>3.2958368660043291</v>
      </c>
      <c r="AR13" s="19">
        <f t="shared" si="14"/>
        <v>-0.19066853865838063</v>
      </c>
      <c r="AS13" s="44">
        <f t="shared" si="15"/>
        <v>1.1926601162848087</v>
      </c>
      <c r="AT13" s="19">
        <f t="shared" si="16"/>
        <v>3.6354491634122389E-2</v>
      </c>
      <c r="AU13" s="36">
        <f t="shared" si="17"/>
        <v>-3.3144375163605728</v>
      </c>
      <c r="AZ13" s="47">
        <v>5</v>
      </c>
      <c r="BA13" s="87">
        <f t="shared" si="18"/>
        <v>3.2958368660043291</v>
      </c>
      <c r="BB13" s="19">
        <f t="shared" si="19"/>
        <v>-0.19066853865838063</v>
      </c>
      <c r="BC13" s="44">
        <f t="shared" si="0"/>
        <v>0.30341307554227914</v>
      </c>
      <c r="BD13" s="44">
        <f t="shared" si="20"/>
        <v>0.55082944324198857</v>
      </c>
      <c r="BE13" s="44">
        <f t="shared" si="21"/>
        <v>1.815443985917585</v>
      </c>
      <c r="BF13" s="44">
        <f t="shared" si="22"/>
        <v>3.2958368660043291</v>
      </c>
      <c r="BG13" s="36">
        <f t="shared" si="23"/>
        <v>0.19066853865838063</v>
      </c>
    </row>
    <row r="14" spans="1:59" x14ac:dyDescent="0.3">
      <c r="B14" s="47">
        <v>6</v>
      </c>
      <c r="C14" s="37">
        <v>165.13</v>
      </c>
      <c r="D14" s="38">
        <v>337</v>
      </c>
      <c r="E14" s="48">
        <v>22</v>
      </c>
      <c r="F14">
        <f>'З-6. Анализ нелинейных функций'!AD10</f>
        <v>163.72057574794187</v>
      </c>
      <c r="G14">
        <f>'З-6. Анализ нелинейных функций'!AC53</f>
        <v>8.5718741946383403E-3</v>
      </c>
      <c r="I14" s="47">
        <v>6</v>
      </c>
      <c r="J14" s="78">
        <v>190.62</v>
      </c>
      <c r="K14" s="78">
        <v>353</v>
      </c>
      <c r="L14" s="79">
        <v>22</v>
      </c>
      <c r="M14" s="83">
        <f t="shared" si="1"/>
        <v>5.2502819175094801</v>
      </c>
      <c r="N14" s="83">
        <f t="shared" si="2"/>
        <v>3.0910424533583161</v>
      </c>
      <c r="S14" s="47">
        <v>6</v>
      </c>
      <c r="T14" s="85">
        <f t="shared" si="3"/>
        <v>3.0910424533583161</v>
      </c>
      <c r="U14" s="90">
        <f t="shared" si="4"/>
        <v>8.5718741946383403E-3</v>
      </c>
      <c r="V14" s="85">
        <f t="shared" si="5"/>
        <v>5.5</v>
      </c>
      <c r="W14" s="85">
        <f t="shared" si="6"/>
        <v>9</v>
      </c>
      <c r="X14" s="19">
        <f t="shared" si="7"/>
        <v>12.25</v>
      </c>
      <c r="AC14" s="47">
        <v>6</v>
      </c>
      <c r="AD14" s="85">
        <v>190.62</v>
      </c>
      <c r="AE14" s="85">
        <v>353</v>
      </c>
      <c r="AF14" s="86">
        <v>22</v>
      </c>
      <c r="AG14" s="87">
        <f t="shared" si="8"/>
        <v>5.2502819175094801</v>
      </c>
      <c r="AH14" s="44">
        <f t="shared" si="9"/>
        <v>3.0910424533583161</v>
      </c>
      <c r="AI14" s="44">
        <f t="shared" si="10"/>
        <v>9.5545434484633969</v>
      </c>
      <c r="AJ14" s="19">
        <f t="shared" si="11"/>
        <v>8.5718741946383403E-3</v>
      </c>
      <c r="AK14" s="36">
        <f t="shared" si="12"/>
        <v>7.3477027208706698E-5</v>
      </c>
      <c r="AP14" s="47">
        <v>6</v>
      </c>
      <c r="AQ14" s="87">
        <f t="shared" si="13"/>
        <v>3.0910424533583161</v>
      </c>
      <c r="AR14" s="19">
        <f t="shared" si="14"/>
        <v>8.5718741946383403E-3</v>
      </c>
      <c r="AS14" s="44">
        <f t="shared" si="15"/>
        <v>1.1285083975617491</v>
      </c>
      <c r="AT14" s="19">
        <f t="shared" si="16"/>
        <v>7.3477027208706698E-5</v>
      </c>
      <c r="AU14" s="36">
        <f t="shared" si="17"/>
        <v>-9.5185377555845552</v>
      </c>
      <c r="AZ14" s="47">
        <v>6</v>
      </c>
      <c r="BA14" s="87">
        <f t="shared" si="18"/>
        <v>3.0910424533583161</v>
      </c>
      <c r="BB14" s="19">
        <f t="shared" si="19"/>
        <v>8.5718741946383403E-3</v>
      </c>
      <c r="BC14" s="44">
        <f t="shared" si="0"/>
        <v>0.32351545314867247</v>
      </c>
      <c r="BD14" s="44">
        <f t="shared" si="20"/>
        <v>0.56878418855368373</v>
      </c>
      <c r="BE14" s="44">
        <f t="shared" si="21"/>
        <v>1.7581360736183977</v>
      </c>
      <c r="BF14" s="44">
        <f t="shared" si="22"/>
        <v>3.0910424533583161</v>
      </c>
      <c r="BG14" s="36">
        <f t="shared" si="23"/>
        <v>8.5718741946383403E-3</v>
      </c>
    </row>
    <row r="15" spans="1:59" x14ac:dyDescent="0.3">
      <c r="B15" s="47">
        <v>7</v>
      </c>
      <c r="C15" s="37">
        <v>170</v>
      </c>
      <c r="D15" s="38">
        <v>340</v>
      </c>
      <c r="E15" s="48">
        <v>23</v>
      </c>
      <c r="F15">
        <f>'З-6. Анализ нелинейных функций'!AD11</f>
        <v>170.04640915321818</v>
      </c>
      <c r="G15">
        <f>'З-6. Анализ нелинейных функций'!AC54</f>
        <v>-2.7295776257041382E-4</v>
      </c>
      <c r="I15" s="47">
        <v>7</v>
      </c>
      <c r="J15" s="80">
        <v>170</v>
      </c>
      <c r="K15" s="80">
        <v>340</v>
      </c>
      <c r="L15" s="81">
        <v>23</v>
      </c>
      <c r="M15" s="84">
        <f t="shared" si="1"/>
        <v>5.1357984370502621</v>
      </c>
      <c r="N15" s="84">
        <f t="shared" si="2"/>
        <v>3.1354942159291497</v>
      </c>
      <c r="S15" s="47">
        <v>7</v>
      </c>
      <c r="T15" s="85">
        <f t="shared" si="3"/>
        <v>3.1354942159291497</v>
      </c>
      <c r="U15" s="90">
        <f t="shared" si="4"/>
        <v>-2.7295776257041382E-4</v>
      </c>
      <c r="V15" s="85">
        <f t="shared" si="5"/>
        <v>7</v>
      </c>
      <c r="W15" s="85">
        <f t="shared" si="6"/>
        <v>7</v>
      </c>
      <c r="X15" s="19">
        <f t="shared" si="7"/>
        <v>0</v>
      </c>
      <c r="AC15" s="47">
        <v>7</v>
      </c>
      <c r="AD15" s="85">
        <v>170</v>
      </c>
      <c r="AE15" s="85">
        <v>340</v>
      </c>
      <c r="AF15" s="86">
        <v>23</v>
      </c>
      <c r="AG15" s="87">
        <f t="shared" si="8"/>
        <v>5.1357984370502621</v>
      </c>
      <c r="AH15" s="44">
        <f t="shared" si="9"/>
        <v>3.1354942159291497</v>
      </c>
      <c r="AI15" s="44">
        <f t="shared" si="10"/>
        <v>9.8313239781251536</v>
      </c>
      <c r="AJ15" s="19">
        <f t="shared" si="11"/>
        <v>-2.7295776257041382E-4</v>
      </c>
      <c r="AK15" s="36">
        <f t="shared" si="12"/>
        <v>7.45059401474464E-8</v>
      </c>
      <c r="AP15" s="47">
        <v>7</v>
      </c>
      <c r="AQ15" s="87">
        <f t="shared" si="13"/>
        <v>3.1354942159291497</v>
      </c>
      <c r="AR15" s="19">
        <f t="shared" si="14"/>
        <v>-2.7295776257041382E-4</v>
      </c>
      <c r="AS15" s="44">
        <f t="shared" si="15"/>
        <v>1.1427868062947719</v>
      </c>
      <c r="AT15" s="19">
        <f t="shared" si="16"/>
        <v>7.45059401474464E-8</v>
      </c>
      <c r="AU15" s="36">
        <f t="shared" si="17"/>
        <v>-16.412386981216674</v>
      </c>
      <c r="AZ15" s="47">
        <v>7</v>
      </c>
      <c r="BA15" s="87">
        <f t="shared" si="18"/>
        <v>3.1354942159291497</v>
      </c>
      <c r="BB15" s="19">
        <f t="shared" si="19"/>
        <v>-2.7295776257041382E-4</v>
      </c>
      <c r="BC15" s="44">
        <f t="shared" si="0"/>
        <v>0.318928988903801</v>
      </c>
      <c r="BD15" s="44">
        <f t="shared" si="20"/>
        <v>0.56473798252269258</v>
      </c>
      <c r="BE15" s="44">
        <f t="shared" si="21"/>
        <v>1.7707326777153998</v>
      </c>
      <c r="BF15" s="44">
        <f t="shared" si="22"/>
        <v>3.1354942159291497</v>
      </c>
      <c r="BG15" s="36">
        <f t="shared" si="23"/>
        <v>2.7295776257041382E-4</v>
      </c>
    </row>
    <row r="16" spans="1:59" x14ac:dyDescent="0.3">
      <c r="B16" s="47">
        <v>8</v>
      </c>
      <c r="C16" s="37">
        <v>174.42</v>
      </c>
      <c r="D16" s="38">
        <v>306</v>
      </c>
      <c r="E16" s="48">
        <v>24</v>
      </c>
      <c r="F16">
        <f>'З-6. Анализ нелинейных функций'!AD12</f>
        <v>176.33188372926455</v>
      </c>
      <c r="G16">
        <f>'З-6. Анализ нелинейных функций'!AC55</f>
        <v>-1.0901738540534112E-2</v>
      </c>
      <c r="I16" s="47">
        <v>8</v>
      </c>
      <c r="J16" s="80">
        <v>174.42</v>
      </c>
      <c r="K16" s="80">
        <v>306</v>
      </c>
      <c r="L16" s="81">
        <v>24</v>
      </c>
      <c r="M16" s="84">
        <f t="shared" si="1"/>
        <v>5.1614661837988391</v>
      </c>
      <c r="N16" s="84">
        <f t="shared" si="2"/>
        <v>3.1780538303479458</v>
      </c>
      <c r="S16" s="47">
        <v>8</v>
      </c>
      <c r="T16" s="85">
        <f t="shared" si="3"/>
        <v>3.1780538303479458</v>
      </c>
      <c r="U16" s="90">
        <f t="shared" si="4"/>
        <v>-1.0901738540534112E-2</v>
      </c>
      <c r="V16" s="85">
        <f t="shared" si="5"/>
        <v>8.5</v>
      </c>
      <c r="W16" s="85">
        <f t="shared" si="6"/>
        <v>5</v>
      </c>
      <c r="X16" s="19">
        <f t="shared" si="7"/>
        <v>12.25</v>
      </c>
      <c r="AC16" s="47">
        <v>8</v>
      </c>
      <c r="AD16" s="85">
        <v>174.42</v>
      </c>
      <c r="AE16" s="85">
        <v>306</v>
      </c>
      <c r="AF16" s="86">
        <v>24</v>
      </c>
      <c r="AG16" s="87">
        <f t="shared" si="8"/>
        <v>5.1614661837988391</v>
      </c>
      <c r="AH16" s="44">
        <f t="shared" si="9"/>
        <v>3.1780538303479458</v>
      </c>
      <c r="AI16" s="44">
        <f t="shared" si="10"/>
        <v>10.100026148589249</v>
      </c>
      <c r="AJ16" s="19">
        <f t="shared" si="11"/>
        <v>-1.0901738540534112E-2</v>
      </c>
      <c r="AK16" s="36">
        <f t="shared" si="12"/>
        <v>1.1884790320616682E-4</v>
      </c>
      <c r="AP16" s="47">
        <v>8</v>
      </c>
      <c r="AQ16" s="87">
        <f t="shared" si="13"/>
        <v>3.1780538303479458</v>
      </c>
      <c r="AR16" s="19">
        <f t="shared" si="14"/>
        <v>-1.0901738540534112E-2</v>
      </c>
      <c r="AS16" s="44">
        <f t="shared" si="15"/>
        <v>1.1562690064065475</v>
      </c>
      <c r="AT16" s="19">
        <f t="shared" si="16"/>
        <v>1.1884790320616682E-4</v>
      </c>
      <c r="AU16" s="36">
        <f t="shared" si="17"/>
        <v>-9.0376660066682071</v>
      </c>
      <c r="AZ16" s="47">
        <v>8</v>
      </c>
      <c r="BA16" s="87">
        <f t="shared" si="18"/>
        <v>3.1780538303479458</v>
      </c>
      <c r="BB16" s="19">
        <f t="shared" si="19"/>
        <v>-1.0901738540534112E-2</v>
      </c>
      <c r="BC16" s="44">
        <f t="shared" si="0"/>
        <v>0.31465798044412485</v>
      </c>
      <c r="BD16" s="44">
        <f t="shared" si="20"/>
        <v>0.56094383002589909</v>
      </c>
      <c r="BE16" s="44">
        <f t="shared" si="21"/>
        <v>1.782709687623856</v>
      </c>
      <c r="BF16" s="44">
        <f t="shared" si="22"/>
        <v>3.1780538303479458</v>
      </c>
      <c r="BG16" s="36">
        <f t="shared" si="23"/>
        <v>1.0901738540534112E-2</v>
      </c>
    </row>
    <row r="17" spans="2:59" x14ac:dyDescent="0.3">
      <c r="B17" s="47">
        <v>9</v>
      </c>
      <c r="C17" s="37">
        <v>175.45</v>
      </c>
      <c r="D17" s="38">
        <v>290</v>
      </c>
      <c r="E17" s="48">
        <v>24</v>
      </c>
      <c r="F17">
        <f>'З-6. Анализ нелинейных функций'!AD13</f>
        <v>176.33188372926455</v>
      </c>
      <c r="G17">
        <f>'З-6. Анализ нелинейных функций'!AC56</f>
        <v>-5.0138203101495193E-3</v>
      </c>
      <c r="I17" s="47">
        <v>9</v>
      </c>
      <c r="J17" s="80">
        <v>175.45</v>
      </c>
      <c r="K17" s="80">
        <v>290</v>
      </c>
      <c r="L17" s="81">
        <v>24</v>
      </c>
      <c r="M17" s="84">
        <f t="shared" si="1"/>
        <v>5.1673541020292237</v>
      </c>
      <c r="N17" s="84">
        <f t="shared" si="2"/>
        <v>3.1780538303479458</v>
      </c>
      <c r="S17" s="47">
        <v>9</v>
      </c>
      <c r="T17" s="85">
        <f t="shared" si="3"/>
        <v>3.1780538303479458</v>
      </c>
      <c r="U17" s="90">
        <f t="shared" si="4"/>
        <v>-5.0138203101495193E-3</v>
      </c>
      <c r="V17" s="85">
        <f t="shared" si="5"/>
        <v>8.5</v>
      </c>
      <c r="W17" s="85">
        <f t="shared" si="6"/>
        <v>6</v>
      </c>
      <c r="X17" s="19">
        <f t="shared" si="7"/>
        <v>6.25</v>
      </c>
      <c r="AC17" s="47">
        <v>9</v>
      </c>
      <c r="AD17" s="85">
        <v>175.45</v>
      </c>
      <c r="AE17" s="85">
        <v>290</v>
      </c>
      <c r="AF17" s="86">
        <v>24</v>
      </c>
      <c r="AG17" s="87">
        <f t="shared" si="8"/>
        <v>5.1673541020292237</v>
      </c>
      <c r="AH17" s="44">
        <f t="shared" si="9"/>
        <v>3.1780538303479458</v>
      </c>
      <c r="AI17" s="44">
        <f t="shared" si="10"/>
        <v>10.100026148589249</v>
      </c>
      <c r="AJ17" s="19">
        <f t="shared" si="11"/>
        <v>-5.0138203101495193E-3</v>
      </c>
      <c r="AK17" s="36">
        <f t="shared" si="12"/>
        <v>2.5138394102467822E-5</v>
      </c>
      <c r="AP17" s="47">
        <v>9</v>
      </c>
      <c r="AQ17" s="87">
        <f t="shared" si="13"/>
        <v>3.1780538303479458</v>
      </c>
      <c r="AR17" s="19">
        <f t="shared" si="14"/>
        <v>-5.0138203101495193E-3</v>
      </c>
      <c r="AS17" s="44">
        <f t="shared" si="15"/>
        <v>1.1562690064065475</v>
      </c>
      <c r="AT17" s="19">
        <f t="shared" si="16"/>
        <v>2.5138394102467822E-5</v>
      </c>
      <c r="AU17" s="36">
        <f t="shared" si="17"/>
        <v>-10.59111423502593</v>
      </c>
      <c r="AZ17" s="47">
        <v>9</v>
      </c>
      <c r="BA17" s="87">
        <f t="shared" si="18"/>
        <v>3.1780538303479458</v>
      </c>
      <c r="BB17" s="19">
        <f t="shared" si="19"/>
        <v>-5.0138203101495193E-3</v>
      </c>
      <c r="BC17" s="44">
        <f t="shared" si="0"/>
        <v>0.31465798044412485</v>
      </c>
      <c r="BD17" s="44">
        <f t="shared" si="20"/>
        <v>0.56094383002589909</v>
      </c>
      <c r="BE17" s="44">
        <f t="shared" si="21"/>
        <v>1.782709687623856</v>
      </c>
      <c r="BF17" s="44">
        <f t="shared" si="22"/>
        <v>3.1780538303479458</v>
      </c>
      <c r="BG17" s="36">
        <f t="shared" si="23"/>
        <v>5.0138203101495193E-3</v>
      </c>
    </row>
    <row r="18" spans="2:59" x14ac:dyDescent="0.3">
      <c r="B18" s="47">
        <v>10</v>
      </c>
      <c r="C18" s="37">
        <v>177.48</v>
      </c>
      <c r="D18" s="38">
        <v>348</v>
      </c>
      <c r="E18" s="48">
        <v>27</v>
      </c>
      <c r="F18">
        <f>'З-6. Анализ нелинейных функций'!AD14</f>
        <v>194.96459298254683</v>
      </c>
      <c r="G18">
        <f>'З-6. Анализ нелинейных функций'!AC57</f>
        <v>-9.396004111792422E-2</v>
      </c>
      <c r="I18" s="47">
        <v>10</v>
      </c>
      <c r="J18" s="37">
        <v>161.12</v>
      </c>
      <c r="K18" s="37">
        <v>304</v>
      </c>
      <c r="L18" s="82">
        <v>27</v>
      </c>
      <c r="M18" s="36">
        <f t="shared" si="1"/>
        <v>5.0821494289702525</v>
      </c>
      <c r="N18" s="36">
        <f t="shared" si="2"/>
        <v>3.2958368660043291</v>
      </c>
      <c r="S18" s="47">
        <v>10</v>
      </c>
      <c r="T18" s="85">
        <f t="shared" si="3"/>
        <v>3.2958368660043291</v>
      </c>
      <c r="U18" s="90">
        <f t="shared" si="4"/>
        <v>-9.396004111792422E-2</v>
      </c>
      <c r="V18" s="85">
        <f t="shared" si="5"/>
        <v>11</v>
      </c>
      <c r="W18" s="85">
        <f t="shared" si="6"/>
        <v>3</v>
      </c>
      <c r="X18" s="19">
        <f t="shared" si="7"/>
        <v>64</v>
      </c>
      <c r="AC18" s="47">
        <v>10</v>
      </c>
      <c r="AD18" s="85">
        <v>161.12</v>
      </c>
      <c r="AE18" s="85">
        <v>304</v>
      </c>
      <c r="AF18" s="86">
        <v>27</v>
      </c>
      <c r="AG18" s="87">
        <f t="shared" si="8"/>
        <v>5.0821494289702525</v>
      </c>
      <c r="AH18" s="44">
        <f t="shared" si="9"/>
        <v>3.2958368660043291</v>
      </c>
      <c r="AI18" s="44">
        <f t="shared" si="10"/>
        <v>10.862540647313239</v>
      </c>
      <c r="AJ18" s="19">
        <f t="shared" si="11"/>
        <v>-9.396004111792422E-2</v>
      </c>
      <c r="AK18" s="36">
        <f t="shared" si="12"/>
        <v>8.8284893268820094E-3</v>
      </c>
      <c r="AP18" s="47">
        <v>10</v>
      </c>
      <c r="AQ18" s="87">
        <f t="shared" si="13"/>
        <v>3.2958368660043291</v>
      </c>
      <c r="AR18" s="19">
        <f t="shared" si="14"/>
        <v>-9.396004111792422E-2</v>
      </c>
      <c r="AS18" s="44">
        <f t="shared" si="15"/>
        <v>1.1926601162848087</v>
      </c>
      <c r="AT18" s="19">
        <f t="shared" si="16"/>
        <v>8.8284893268820094E-3</v>
      </c>
      <c r="AU18" s="36">
        <f t="shared" si="17"/>
        <v>-4.7297713631611549</v>
      </c>
      <c r="AZ18" s="47">
        <v>10</v>
      </c>
      <c r="BA18" s="87">
        <f t="shared" si="18"/>
        <v>3.2958368660043291</v>
      </c>
      <c r="BB18" s="19">
        <f t="shared" si="19"/>
        <v>-9.396004111792422E-2</v>
      </c>
      <c r="BC18" s="44">
        <f t="shared" si="0"/>
        <v>0.30341307554227914</v>
      </c>
      <c r="BD18" s="44">
        <f t="shared" si="20"/>
        <v>0.55082944324198857</v>
      </c>
      <c r="BE18" s="44">
        <f t="shared" si="21"/>
        <v>1.815443985917585</v>
      </c>
      <c r="BF18" s="44">
        <f t="shared" si="22"/>
        <v>3.2958368660043291</v>
      </c>
      <c r="BG18" s="36">
        <f t="shared" si="23"/>
        <v>9.396004111792422E-2</v>
      </c>
    </row>
    <row r="19" spans="2:59" x14ac:dyDescent="0.3">
      <c r="B19" s="47">
        <v>11</v>
      </c>
      <c r="C19" s="37">
        <v>190.62</v>
      </c>
      <c r="D19" s="38">
        <v>353</v>
      </c>
      <c r="E19" s="48">
        <v>22</v>
      </c>
      <c r="F19">
        <f>'З-6. Анализ нелинейных функций'!AD15</f>
        <v>163.72057574794187</v>
      </c>
      <c r="G19">
        <f>'З-6. Анализ нелинейных функций'!AC58</f>
        <v>0.15212074922922181</v>
      </c>
      <c r="I19" s="47">
        <v>11</v>
      </c>
      <c r="J19" s="37">
        <v>177.48</v>
      </c>
      <c r="K19" s="37">
        <v>348</v>
      </c>
      <c r="L19" s="82">
        <v>27</v>
      </c>
      <c r="M19" s="36">
        <f>LN(J19)</f>
        <v>5.1788579265107089</v>
      </c>
      <c r="N19" s="36">
        <f t="shared" si="2"/>
        <v>3.2958368660043291</v>
      </c>
      <c r="S19" s="47">
        <v>11</v>
      </c>
      <c r="T19" s="85">
        <f t="shared" si="3"/>
        <v>3.0910424533583161</v>
      </c>
      <c r="U19" s="90">
        <f t="shared" si="4"/>
        <v>0.15212074922922181</v>
      </c>
      <c r="V19" s="85">
        <f t="shared" si="5"/>
        <v>5.5</v>
      </c>
      <c r="W19" s="85">
        <f t="shared" si="6"/>
        <v>15</v>
      </c>
      <c r="X19" s="19">
        <f t="shared" si="7"/>
        <v>90.25</v>
      </c>
      <c r="AC19" s="47">
        <v>11</v>
      </c>
      <c r="AD19" s="85">
        <v>177.48</v>
      </c>
      <c r="AE19" s="85">
        <v>348</v>
      </c>
      <c r="AF19" s="86">
        <v>27</v>
      </c>
      <c r="AG19" s="87">
        <f>LN(AD19)</f>
        <v>5.1788579265107089</v>
      </c>
      <c r="AH19" s="44">
        <f t="shared" si="9"/>
        <v>3.2958368660043291</v>
      </c>
      <c r="AI19" s="44">
        <f t="shared" si="10"/>
        <v>10.862540647313239</v>
      </c>
      <c r="AJ19" s="19">
        <f t="shared" si="11"/>
        <v>0.15212074922922181</v>
      </c>
      <c r="AK19" s="36">
        <f t="shared" si="12"/>
        <v>2.3140722346059787E-2</v>
      </c>
      <c r="AP19" s="47">
        <v>11</v>
      </c>
      <c r="AQ19" s="87">
        <f t="shared" si="13"/>
        <v>3.0910424533583161</v>
      </c>
      <c r="AR19" s="19">
        <f t="shared" si="14"/>
        <v>0.15212074922922181</v>
      </c>
      <c r="AS19" s="44">
        <f t="shared" si="15"/>
        <v>1.1285083975617491</v>
      </c>
      <c r="AT19" s="19">
        <f t="shared" si="16"/>
        <v>2.3140722346059787E-2</v>
      </c>
      <c r="AU19" s="36">
        <f t="shared" si="17"/>
        <v>-3.7661613413658923</v>
      </c>
      <c r="AZ19" s="47">
        <v>11</v>
      </c>
      <c r="BA19" s="87">
        <f t="shared" si="18"/>
        <v>3.0910424533583161</v>
      </c>
      <c r="BB19" s="19">
        <f t="shared" si="19"/>
        <v>0.15212074922922181</v>
      </c>
      <c r="BC19" s="44">
        <f t="shared" si="0"/>
        <v>0.32351545314867247</v>
      </c>
      <c r="BD19" s="44">
        <f t="shared" si="20"/>
        <v>0.56878418855368373</v>
      </c>
      <c r="BE19" s="44">
        <f t="shared" si="21"/>
        <v>1.7581360736183977</v>
      </c>
      <c r="BF19" s="44">
        <f t="shared" si="22"/>
        <v>3.0910424533583161</v>
      </c>
      <c r="BG19" s="36">
        <f t="shared" si="23"/>
        <v>0.15212074922922181</v>
      </c>
    </row>
    <row r="20" spans="2:59" x14ac:dyDescent="0.3">
      <c r="B20" s="47">
        <v>12</v>
      </c>
      <c r="C20" s="37">
        <v>197.34</v>
      </c>
      <c r="D20" s="38">
        <v>299</v>
      </c>
      <c r="E20" s="48">
        <v>27</v>
      </c>
      <c r="F20">
        <f>'З-6. Анализ нелинейных функций'!AD16</f>
        <v>194.96459298254683</v>
      </c>
      <c r="G20">
        <f>'З-6. Анализ нелинейных функций'!AC59</f>
        <v>1.2110161800387154E-2</v>
      </c>
      <c r="I20" s="47">
        <v>12</v>
      </c>
      <c r="J20" s="37">
        <v>197.34</v>
      </c>
      <c r="K20" s="37">
        <v>299</v>
      </c>
      <c r="L20" s="82">
        <v>27</v>
      </c>
      <c r="M20" s="36">
        <f t="shared" si="1"/>
        <v>5.2849281294290202</v>
      </c>
      <c r="N20" s="36">
        <f t="shared" si="2"/>
        <v>3.2958368660043291</v>
      </c>
      <c r="S20" s="47">
        <v>12</v>
      </c>
      <c r="T20" s="85">
        <f t="shared" si="3"/>
        <v>3.2958368660043291</v>
      </c>
      <c r="U20" s="90">
        <f t="shared" si="4"/>
        <v>1.2110161800387154E-2</v>
      </c>
      <c r="V20" s="85">
        <f t="shared" si="5"/>
        <v>11</v>
      </c>
      <c r="W20" s="85">
        <f t="shared" si="6"/>
        <v>11</v>
      </c>
      <c r="X20" s="19">
        <f t="shared" si="7"/>
        <v>0</v>
      </c>
      <c r="AC20" s="47">
        <v>12</v>
      </c>
      <c r="AD20" s="85">
        <v>197.34</v>
      </c>
      <c r="AE20" s="85">
        <v>299</v>
      </c>
      <c r="AF20" s="86">
        <v>27</v>
      </c>
      <c r="AG20" s="87">
        <f t="shared" ref="AG20:AG23" si="24">LN(AD20)</f>
        <v>5.2849281294290202</v>
      </c>
      <c r="AH20" s="44">
        <f t="shared" si="9"/>
        <v>3.2958368660043291</v>
      </c>
      <c r="AI20" s="44">
        <f t="shared" si="10"/>
        <v>10.862540647313239</v>
      </c>
      <c r="AJ20" s="19">
        <f t="shared" si="11"/>
        <v>1.2110161800387154E-2</v>
      </c>
      <c r="AK20" s="36">
        <f t="shared" si="12"/>
        <v>1.4665601883155621E-4</v>
      </c>
      <c r="AP20" s="47">
        <v>12</v>
      </c>
      <c r="AQ20" s="87">
        <f t="shared" si="13"/>
        <v>3.2958368660043291</v>
      </c>
      <c r="AR20" s="19">
        <f t="shared" si="14"/>
        <v>1.2110161800387154E-2</v>
      </c>
      <c r="AS20" s="44">
        <f t="shared" si="15"/>
        <v>1.1926601162848087</v>
      </c>
      <c r="AT20" s="19">
        <f t="shared" si="16"/>
        <v>1.4665601883155621E-4</v>
      </c>
      <c r="AU20" s="36">
        <f t="shared" si="17"/>
        <v>-8.8274207212312561</v>
      </c>
      <c r="AZ20" s="47">
        <v>12</v>
      </c>
      <c r="BA20" s="87">
        <f t="shared" si="18"/>
        <v>3.2958368660043291</v>
      </c>
      <c r="BB20" s="19">
        <f t="shared" si="19"/>
        <v>1.2110161800387154E-2</v>
      </c>
      <c r="BC20" s="44">
        <f t="shared" si="0"/>
        <v>0.30341307554227914</v>
      </c>
      <c r="BD20" s="44">
        <f t="shared" si="20"/>
        <v>0.55082944324198857</v>
      </c>
      <c r="BE20" s="44">
        <f t="shared" si="21"/>
        <v>1.815443985917585</v>
      </c>
      <c r="BF20" s="44">
        <f t="shared" si="22"/>
        <v>3.2958368660043291</v>
      </c>
      <c r="BG20" s="36">
        <f t="shared" si="23"/>
        <v>1.2110161800387154E-2</v>
      </c>
    </row>
    <row r="21" spans="2:59" x14ac:dyDescent="0.3">
      <c r="B21" s="47">
        <v>13</v>
      </c>
      <c r="C21" s="37">
        <v>203.28</v>
      </c>
      <c r="D21" s="38">
        <v>363</v>
      </c>
      <c r="E21" s="48">
        <v>28</v>
      </c>
      <c r="F21">
        <f>'З-6. Анализ нелинейных функций'!AD17</f>
        <v>201.10632278639565</v>
      </c>
      <c r="G21">
        <f>'З-6. Анализ нелинейных функций'!AC60</f>
        <v>1.0750601721117192E-2</v>
      </c>
      <c r="I21" s="47">
        <v>13</v>
      </c>
      <c r="J21" s="37">
        <v>203.28</v>
      </c>
      <c r="K21" s="37">
        <v>363</v>
      </c>
      <c r="L21" s="82">
        <v>28</v>
      </c>
      <c r="M21" s="36">
        <f t="shared" si="1"/>
        <v>5.3145843390119083</v>
      </c>
      <c r="N21" s="36">
        <f t="shared" si="2"/>
        <v>3.3322045101752038</v>
      </c>
      <c r="S21" s="47">
        <v>13</v>
      </c>
      <c r="T21" s="85">
        <f t="shared" si="3"/>
        <v>3.3322045101752038</v>
      </c>
      <c r="U21" s="90">
        <f t="shared" si="4"/>
        <v>1.0750601721117192E-2</v>
      </c>
      <c r="V21" s="85">
        <f t="shared" si="5"/>
        <v>14</v>
      </c>
      <c r="W21" s="85">
        <f t="shared" si="6"/>
        <v>10</v>
      </c>
      <c r="X21" s="19">
        <f t="shared" si="7"/>
        <v>16</v>
      </c>
      <c r="AC21" s="47">
        <v>13</v>
      </c>
      <c r="AD21" s="85">
        <v>203.28</v>
      </c>
      <c r="AE21" s="85">
        <v>363</v>
      </c>
      <c r="AF21" s="86">
        <v>28</v>
      </c>
      <c r="AG21" s="87">
        <f t="shared" si="24"/>
        <v>5.3145843390119083</v>
      </c>
      <c r="AH21" s="44">
        <f t="shared" si="9"/>
        <v>3.3322045101752038</v>
      </c>
      <c r="AI21" s="44">
        <f t="shared" si="10"/>
        <v>11.10358689763197</v>
      </c>
      <c r="AJ21" s="19">
        <f t="shared" si="11"/>
        <v>1.0750601721117192E-2</v>
      </c>
      <c r="AK21" s="36">
        <f t="shared" si="12"/>
        <v>1.1557543736608793E-4</v>
      </c>
      <c r="AP21" s="47">
        <v>13</v>
      </c>
      <c r="AQ21" s="87">
        <f t="shared" si="13"/>
        <v>3.3322045101752038</v>
      </c>
      <c r="AR21" s="19">
        <f t="shared" si="14"/>
        <v>1.0750601721117192E-2</v>
      </c>
      <c r="AS21" s="44">
        <f t="shared" si="15"/>
        <v>1.2036341000246709</v>
      </c>
      <c r="AT21" s="19">
        <f t="shared" si="16"/>
        <v>1.1557543736608793E-4</v>
      </c>
      <c r="AU21" s="36">
        <f t="shared" si="17"/>
        <v>-9.0655871038350817</v>
      </c>
      <c r="AZ21" s="47">
        <v>13</v>
      </c>
      <c r="BA21" s="87">
        <f t="shared" si="18"/>
        <v>3.3322045101752038</v>
      </c>
      <c r="BB21" s="19">
        <f t="shared" si="19"/>
        <v>1.0750601721117192E-2</v>
      </c>
      <c r="BC21" s="44">
        <f t="shared" si="0"/>
        <v>0.30010162850041311</v>
      </c>
      <c r="BD21" s="44">
        <f t="shared" si="20"/>
        <v>0.54781532335305583</v>
      </c>
      <c r="BE21" s="44">
        <f t="shared" si="21"/>
        <v>1.8254326912201402</v>
      </c>
      <c r="BF21" s="44">
        <f t="shared" si="22"/>
        <v>3.3322045101752038</v>
      </c>
      <c r="BG21" s="36">
        <f t="shared" si="23"/>
        <v>1.0750601721117192E-2</v>
      </c>
    </row>
    <row r="22" spans="2:59" x14ac:dyDescent="0.3">
      <c r="B22" s="47">
        <v>14</v>
      </c>
      <c r="C22" s="37">
        <v>207.24</v>
      </c>
      <c r="D22" s="38">
        <v>314</v>
      </c>
      <c r="E22" s="48">
        <v>28</v>
      </c>
      <c r="F22">
        <f>'З-6. Анализ нелинейных функций'!AD18</f>
        <v>201.10632278639565</v>
      </c>
      <c r="G22">
        <f>'З-6. Анализ нелинейных функций'!AC61</f>
        <v>3.0043804655796258E-2</v>
      </c>
      <c r="I22" s="47">
        <v>14</v>
      </c>
      <c r="J22" s="37">
        <v>207.24</v>
      </c>
      <c r="K22" s="37">
        <v>314</v>
      </c>
      <c r="L22" s="82">
        <v>28</v>
      </c>
      <c r="M22" s="36">
        <f t="shared" si="1"/>
        <v>5.3338775419465874</v>
      </c>
      <c r="N22" s="36">
        <f t="shared" si="2"/>
        <v>3.3322045101752038</v>
      </c>
      <c r="S22" s="47">
        <v>14</v>
      </c>
      <c r="T22" s="85">
        <f t="shared" si="3"/>
        <v>3.3322045101752038</v>
      </c>
      <c r="U22" s="90">
        <f t="shared" si="4"/>
        <v>3.0043804655796258E-2</v>
      </c>
      <c r="V22" s="85">
        <f t="shared" si="5"/>
        <v>14</v>
      </c>
      <c r="W22" s="85">
        <f t="shared" si="6"/>
        <v>12</v>
      </c>
      <c r="X22" s="19">
        <f t="shared" si="7"/>
        <v>4</v>
      </c>
      <c r="AC22" s="47">
        <v>14</v>
      </c>
      <c r="AD22" s="85">
        <v>207.24</v>
      </c>
      <c r="AE22" s="85">
        <v>314</v>
      </c>
      <c r="AF22" s="86">
        <v>28</v>
      </c>
      <c r="AG22" s="87">
        <f t="shared" si="24"/>
        <v>5.3338775419465874</v>
      </c>
      <c r="AH22" s="44">
        <f t="shared" si="9"/>
        <v>3.3322045101752038</v>
      </c>
      <c r="AI22" s="44">
        <f t="shared" si="10"/>
        <v>11.10358689763197</v>
      </c>
      <c r="AJ22" s="19">
        <f t="shared" si="11"/>
        <v>3.0043804655796258E-2</v>
      </c>
      <c r="AK22" s="36">
        <f t="shared" si="12"/>
        <v>9.0263019819564487E-4</v>
      </c>
      <c r="AP22" s="47">
        <v>14</v>
      </c>
      <c r="AQ22" s="87">
        <f t="shared" si="13"/>
        <v>3.3322045101752038</v>
      </c>
      <c r="AR22" s="19">
        <f t="shared" si="14"/>
        <v>3.0043804655796258E-2</v>
      </c>
      <c r="AS22" s="44">
        <f t="shared" si="15"/>
        <v>1.2036341000246709</v>
      </c>
      <c r="AT22" s="19">
        <f t="shared" si="16"/>
        <v>9.0263019819564487E-4</v>
      </c>
      <c r="AU22" s="36">
        <f t="shared" si="17"/>
        <v>-7.0101976142335856</v>
      </c>
      <c r="AZ22" s="47">
        <v>14</v>
      </c>
      <c r="BA22" s="87">
        <f t="shared" si="18"/>
        <v>3.3322045101752038</v>
      </c>
      <c r="BB22" s="19">
        <f t="shared" si="19"/>
        <v>3.0043804655796258E-2</v>
      </c>
      <c r="BC22" s="44">
        <f t="shared" si="0"/>
        <v>0.30010162850041311</v>
      </c>
      <c r="BD22" s="44">
        <f t="shared" si="20"/>
        <v>0.54781532335305583</v>
      </c>
      <c r="BE22" s="44">
        <f t="shared" si="21"/>
        <v>1.8254326912201402</v>
      </c>
      <c r="BF22" s="44">
        <f t="shared" si="22"/>
        <v>3.3322045101752038</v>
      </c>
      <c r="BG22" s="36">
        <f t="shared" si="23"/>
        <v>3.0043804655796258E-2</v>
      </c>
    </row>
    <row r="23" spans="2:59" x14ac:dyDescent="0.3">
      <c r="B23" s="47">
        <v>15</v>
      </c>
      <c r="C23" s="37">
        <v>231.28</v>
      </c>
      <c r="D23" s="38">
        <v>392</v>
      </c>
      <c r="E23" s="48">
        <v>28</v>
      </c>
      <c r="F23">
        <f>'З-6. Анализ нелинейных функций'!AD19</f>
        <v>201.10632278639565</v>
      </c>
      <c r="G23">
        <f>'З-6. Анализ нелинейных функций'!AC62</f>
        <v>0.1397953604172999</v>
      </c>
      <c r="I23" s="47">
        <v>15</v>
      </c>
      <c r="J23" s="37">
        <v>231.28</v>
      </c>
      <c r="K23" s="37">
        <v>392</v>
      </c>
      <c r="L23" s="82">
        <v>28</v>
      </c>
      <c r="M23" s="36">
        <f t="shared" si="1"/>
        <v>5.443629097708091</v>
      </c>
      <c r="N23" s="36">
        <f t="shared" si="2"/>
        <v>3.3322045101752038</v>
      </c>
      <c r="S23" s="47">
        <v>15</v>
      </c>
      <c r="T23" s="85">
        <f t="shared" si="3"/>
        <v>3.3322045101752038</v>
      </c>
      <c r="U23" s="90">
        <f t="shared" si="4"/>
        <v>0.1397953604172999</v>
      </c>
      <c r="V23" s="85">
        <f t="shared" si="5"/>
        <v>14</v>
      </c>
      <c r="W23" s="85">
        <f t="shared" si="6"/>
        <v>14</v>
      </c>
      <c r="X23" s="19">
        <f t="shared" si="7"/>
        <v>0</v>
      </c>
      <c r="AC23" s="47">
        <v>15</v>
      </c>
      <c r="AD23" s="85">
        <v>231.28</v>
      </c>
      <c r="AE23" s="85">
        <v>392</v>
      </c>
      <c r="AF23" s="86">
        <v>28</v>
      </c>
      <c r="AG23" s="87">
        <f t="shared" si="24"/>
        <v>5.443629097708091</v>
      </c>
      <c r="AH23" s="44">
        <f t="shared" si="9"/>
        <v>3.3322045101752038</v>
      </c>
      <c r="AI23" s="44">
        <f t="shared" si="10"/>
        <v>11.10358689763197</v>
      </c>
      <c r="AJ23" s="19">
        <f t="shared" si="11"/>
        <v>0.1397953604172999</v>
      </c>
      <c r="AK23" s="36">
        <f t="shared" si="12"/>
        <v>1.9542742794202778E-2</v>
      </c>
      <c r="AP23" s="47">
        <v>15</v>
      </c>
      <c r="AQ23" s="87">
        <f t="shared" si="13"/>
        <v>3.3322045101752038</v>
      </c>
      <c r="AR23" s="19">
        <f t="shared" si="14"/>
        <v>0.1397953604172999</v>
      </c>
      <c r="AS23" s="44">
        <f t="shared" si="15"/>
        <v>1.2036341000246709</v>
      </c>
      <c r="AT23" s="19">
        <f t="shared" si="16"/>
        <v>1.9542742794202778E-2</v>
      </c>
      <c r="AU23" s="36">
        <f t="shared" si="17"/>
        <v>-3.9351512740399528</v>
      </c>
      <c r="AZ23" s="47">
        <v>15</v>
      </c>
      <c r="BA23" s="87">
        <f t="shared" si="18"/>
        <v>3.3322045101752038</v>
      </c>
      <c r="BB23" s="19">
        <f t="shared" si="19"/>
        <v>0.1397953604172999</v>
      </c>
      <c r="BC23" s="44">
        <f t="shared" si="0"/>
        <v>0.30010162850041311</v>
      </c>
      <c r="BD23" s="44">
        <f t="shared" si="20"/>
        <v>0.54781532335305583</v>
      </c>
      <c r="BE23" s="44">
        <f t="shared" si="21"/>
        <v>1.8254326912201402</v>
      </c>
      <c r="BF23" s="44">
        <f t="shared" si="22"/>
        <v>3.3322045101752038</v>
      </c>
      <c r="BG23" s="36">
        <f t="shared" si="23"/>
        <v>0.1397953604172999</v>
      </c>
    </row>
    <row r="24" spans="2:59" x14ac:dyDescent="0.3">
      <c r="B24" s="50" t="s">
        <v>19</v>
      </c>
      <c r="C24" s="50">
        <f>SUM(C9:C23)</f>
        <v>2586.0800000000004</v>
      </c>
      <c r="D24" s="50">
        <f t="shared" ref="D24" si="25">SUM(D9:D23)</f>
        <v>4758</v>
      </c>
      <c r="E24" s="51">
        <f t="shared" ref="E24:G24" si="26">SUM(E9:E23)</f>
        <v>350</v>
      </c>
      <c r="F24" s="51">
        <f t="shared" si="26"/>
        <v>2576.8784192889443</v>
      </c>
      <c r="G24" s="51">
        <f t="shared" si="26"/>
        <v>-2.6645352591003757E-15</v>
      </c>
      <c r="I24" s="50" t="s">
        <v>19</v>
      </c>
      <c r="J24" s="50">
        <f>SUM(J9:J23)</f>
        <v>2586.0800000000004</v>
      </c>
      <c r="K24" s="50">
        <f t="shared" ref="K24" si="27">SUM(K9:K23)</f>
        <v>4758</v>
      </c>
      <c r="L24" s="51">
        <f t="shared" ref="L24:N24" si="28">SUM(L9:L23)</f>
        <v>350</v>
      </c>
      <c r="M24" s="51">
        <f t="shared" si="28"/>
        <v>77.005789259735835</v>
      </c>
      <c r="N24" s="51">
        <f t="shared" si="28"/>
        <v>46.991043607941243</v>
      </c>
      <c r="S24" s="50" t="s">
        <v>19</v>
      </c>
      <c r="T24" s="50">
        <f>SUM(T9:T23)</f>
        <v>46.991043607941243</v>
      </c>
      <c r="U24" s="50">
        <f t="shared" ref="U24:X24" si="29">SUM(U9:U23)</f>
        <v>-2.6645352591003757E-15</v>
      </c>
      <c r="V24" s="50">
        <f>SUM(V9:V23)</f>
        <v>120</v>
      </c>
      <c r="W24" s="50">
        <f t="shared" si="29"/>
        <v>120</v>
      </c>
      <c r="X24" s="50">
        <f t="shared" si="29"/>
        <v>437.5</v>
      </c>
      <c r="AC24" s="50" t="s">
        <v>19</v>
      </c>
      <c r="AD24" s="50">
        <f>SUM(AD9:AD23)</f>
        <v>2586.0800000000004</v>
      </c>
      <c r="AE24" s="50">
        <f t="shared" ref="AE24" si="30">SUM(AE9:AE23)</f>
        <v>4758</v>
      </c>
      <c r="AF24" s="51">
        <f t="shared" ref="AF24:AK24" si="31">SUM(AF9:AF23)</f>
        <v>350</v>
      </c>
      <c r="AG24" s="51">
        <f t="shared" si="31"/>
        <v>77.005789259735835</v>
      </c>
      <c r="AH24" s="51">
        <f t="shared" si="31"/>
        <v>46.991043607941243</v>
      </c>
      <c r="AI24" s="51">
        <f t="shared" si="31"/>
        <v>147.75060039847804</v>
      </c>
      <c r="AJ24" s="51">
        <f t="shared" si="31"/>
        <v>-2.6645352591003757E-15</v>
      </c>
      <c r="AK24" s="51">
        <f t="shared" si="31"/>
        <v>0.10483123805461822</v>
      </c>
      <c r="AP24" s="50" t="s">
        <v>19</v>
      </c>
      <c r="AQ24" s="51">
        <f t="shared" ref="AQ24:AU24" si="32">SUM(AQ9:AQ23)</f>
        <v>46.991043607941243</v>
      </c>
      <c r="AR24" s="51">
        <f t="shared" si="32"/>
        <v>-2.6645352591003757E-15</v>
      </c>
      <c r="AS24" s="51">
        <f t="shared" si="32"/>
        <v>17.100141715236635</v>
      </c>
      <c r="AT24" s="51">
        <f t="shared" si="32"/>
        <v>0.10483123805461822</v>
      </c>
      <c r="AU24" s="51">
        <f t="shared" si="32"/>
        <v>-114.3871455907735</v>
      </c>
      <c r="AZ24" s="50" t="s">
        <v>19</v>
      </c>
      <c r="BA24" s="51">
        <f t="shared" ref="BA24:BG24" si="33">SUM(BA9:BA23)</f>
        <v>46.991043607941243</v>
      </c>
      <c r="BB24" s="51">
        <f t="shared" si="33"/>
        <v>-2.6645352591003757E-15</v>
      </c>
      <c r="BC24" s="51">
        <f t="shared" si="33"/>
        <v>4.8066651257038231</v>
      </c>
      <c r="BD24" s="51">
        <f t="shared" si="33"/>
        <v>8.4869706896778467</v>
      </c>
      <c r="BE24" s="51">
        <f t="shared" si="33"/>
        <v>26.536825117538285</v>
      </c>
      <c r="BF24" s="51">
        <f t="shared" si="33"/>
        <v>46.991043607941243</v>
      </c>
      <c r="BG24" s="51">
        <f t="shared" si="33"/>
        <v>0.85566553970700898</v>
      </c>
    </row>
    <row r="25" spans="2:59" x14ac:dyDescent="0.3">
      <c r="B25" s="50" t="s">
        <v>14</v>
      </c>
      <c r="C25" s="50">
        <f t="shared" ref="C25:G25" si="34">AVERAGE(C9:C23)</f>
        <v>172.40533333333335</v>
      </c>
      <c r="D25" s="50">
        <f t="shared" si="34"/>
        <v>317.2</v>
      </c>
      <c r="E25" s="50">
        <f t="shared" si="34"/>
        <v>23.333333333333332</v>
      </c>
      <c r="F25" s="50">
        <f t="shared" si="34"/>
        <v>171.79189461926296</v>
      </c>
      <c r="G25" s="50">
        <f t="shared" si="34"/>
        <v>-1.7763568394002506E-16</v>
      </c>
      <c r="I25" s="50" t="s">
        <v>14</v>
      </c>
      <c r="J25" s="50">
        <f t="shared" ref="J25:N25" si="35">AVERAGE(J9:J23)</f>
        <v>172.40533333333335</v>
      </c>
      <c r="K25" s="50">
        <f t="shared" si="35"/>
        <v>317.2</v>
      </c>
      <c r="L25" s="50">
        <f t="shared" si="35"/>
        <v>23.333333333333332</v>
      </c>
      <c r="M25" s="50">
        <f t="shared" si="35"/>
        <v>5.1337192839823889</v>
      </c>
      <c r="N25" s="50">
        <f t="shared" si="35"/>
        <v>3.1327362405294163</v>
      </c>
      <c r="S25" s="50" t="s">
        <v>14</v>
      </c>
      <c r="T25" s="50">
        <f t="shared" ref="T25:U25" si="36">AVERAGE(T9:T23)</f>
        <v>3.1327362405294163</v>
      </c>
      <c r="U25" s="50">
        <f t="shared" si="36"/>
        <v>-1.7763568394002506E-16</v>
      </c>
      <c r="V25" s="50">
        <f t="shared" ref="V25:X25" si="37">AVERAGE(V9:V23)</f>
        <v>8</v>
      </c>
      <c r="W25" s="50">
        <f t="shared" si="37"/>
        <v>8</v>
      </c>
      <c r="X25" s="50">
        <f t="shared" si="37"/>
        <v>29.166666666666668</v>
      </c>
      <c r="AC25" s="50" t="s">
        <v>14</v>
      </c>
      <c r="AD25" s="50">
        <f t="shared" ref="AD25:AK25" si="38">AVERAGE(AD9:AD23)</f>
        <v>172.40533333333335</v>
      </c>
      <c r="AE25" s="50">
        <f t="shared" si="38"/>
        <v>317.2</v>
      </c>
      <c r="AF25" s="50">
        <f t="shared" si="38"/>
        <v>23.333333333333332</v>
      </c>
      <c r="AG25" s="50">
        <f t="shared" si="38"/>
        <v>5.1337192839823889</v>
      </c>
      <c r="AH25" s="50">
        <f t="shared" si="38"/>
        <v>3.1327362405294163</v>
      </c>
      <c r="AI25" s="50">
        <f t="shared" si="38"/>
        <v>9.8500400265652033</v>
      </c>
      <c r="AJ25" s="50">
        <f t="shared" si="38"/>
        <v>-1.7763568394002506E-16</v>
      </c>
      <c r="AK25" s="50">
        <f t="shared" si="38"/>
        <v>6.9887492036412148E-3</v>
      </c>
      <c r="AP25" s="50" t="s">
        <v>14</v>
      </c>
      <c r="AQ25" s="50">
        <f t="shared" ref="AQ25:AU25" si="39">AVERAGE(AQ9:AQ23)</f>
        <v>3.1327362405294163</v>
      </c>
      <c r="AR25" s="50">
        <f t="shared" si="39"/>
        <v>-1.7763568394002506E-16</v>
      </c>
      <c r="AS25" s="50">
        <f t="shared" si="39"/>
        <v>1.1400094476824423</v>
      </c>
      <c r="AT25" s="50">
        <f t="shared" si="39"/>
        <v>6.9887492036412148E-3</v>
      </c>
      <c r="AU25" s="50">
        <f t="shared" si="39"/>
        <v>-7.6258097060515668</v>
      </c>
      <c r="AZ25" s="50" t="s">
        <v>14</v>
      </c>
      <c r="BA25" s="50">
        <f t="shared" ref="BA25:BG25" si="40">AVERAGE(BA9:BA23)</f>
        <v>3.1327362405294163</v>
      </c>
      <c r="BB25" s="50">
        <f t="shared" si="40"/>
        <v>-1.7763568394002506E-16</v>
      </c>
      <c r="BC25" s="50">
        <f t="shared" si="40"/>
        <v>0.32044434171358821</v>
      </c>
      <c r="BD25" s="50">
        <f t="shared" si="40"/>
        <v>0.56579804597852312</v>
      </c>
      <c r="BE25" s="50">
        <f t="shared" si="40"/>
        <v>1.7691216745025524</v>
      </c>
      <c r="BF25" s="50">
        <f t="shared" si="40"/>
        <v>3.1327362405294163</v>
      </c>
      <c r="BG25" s="50">
        <f t="shared" si="40"/>
        <v>5.7044369313800601E-2</v>
      </c>
    </row>
    <row r="28" spans="2:59" ht="21" customHeight="1" thickBot="1" x14ac:dyDescent="0.35">
      <c r="I28" s="191" t="s">
        <v>248</v>
      </c>
      <c r="J28" s="191"/>
      <c r="K28" s="191"/>
      <c r="L28" s="191"/>
      <c r="M28" s="191"/>
      <c r="N28" s="191"/>
      <c r="S28" t="s">
        <v>267</v>
      </c>
      <c r="T28" t="s">
        <v>15</v>
      </c>
      <c r="AC28" t="s">
        <v>23</v>
      </c>
      <c r="AP28" t="s">
        <v>23</v>
      </c>
      <c r="AZ28" s="190" t="s">
        <v>293</v>
      </c>
      <c r="BA28" s="190"/>
      <c r="BB28" s="190"/>
      <c r="BC28" s="190"/>
      <c r="BD28" s="190"/>
      <c r="BE28" s="190"/>
      <c r="BF28" s="190"/>
      <c r="BG28" s="190"/>
    </row>
    <row r="29" spans="2:59" ht="15" thickBot="1" x14ac:dyDescent="0.35">
      <c r="I29" t="s">
        <v>23</v>
      </c>
      <c r="S29">
        <f xml:space="preserve"> 1 - 6*SUM(X9:X23)/(S23*(S23^2-1))</f>
        <v>0.21875</v>
      </c>
      <c r="T29" t="s">
        <v>268</v>
      </c>
    </row>
    <row r="30" spans="2:59" ht="18.600000000000001" thickBot="1" x14ac:dyDescent="0.4">
      <c r="B30" s="99" t="s">
        <v>301</v>
      </c>
      <c r="AC30" s="12" t="s">
        <v>24</v>
      </c>
      <c r="AD30" s="12"/>
      <c r="AP30" s="12" t="s">
        <v>24</v>
      </c>
      <c r="AQ30" s="12"/>
      <c r="AY30" s="100"/>
      <c r="AZ30" t="s">
        <v>23</v>
      </c>
    </row>
    <row r="31" spans="2:59" ht="16.2" thickBot="1" x14ac:dyDescent="0.4">
      <c r="I31" s="12" t="s">
        <v>24</v>
      </c>
      <c r="J31" s="12"/>
      <c r="S31" t="s">
        <v>270</v>
      </c>
      <c r="T31" t="s">
        <v>269</v>
      </c>
      <c r="U31" t="s">
        <v>15</v>
      </c>
      <c r="AC31" s="9" t="s">
        <v>25</v>
      </c>
      <c r="AD31" s="9">
        <v>0.18350715074541371</v>
      </c>
      <c r="AP31" s="9" t="s">
        <v>25</v>
      </c>
      <c r="AQ31" s="9">
        <v>0.14559722103846939</v>
      </c>
      <c r="AY31" s="100"/>
    </row>
    <row r="32" spans="2:59" ht="25.2" customHeight="1" thickBot="1" x14ac:dyDescent="0.4">
      <c r="B32" s="181" t="s">
        <v>305</v>
      </c>
      <c r="C32" s="181"/>
      <c r="D32" s="181"/>
      <c r="E32" s="181"/>
      <c r="F32" s="181"/>
      <c r="G32" s="181"/>
      <c r="I32" s="9" t="s">
        <v>25</v>
      </c>
      <c r="J32" s="9">
        <v>0.91108894911256855</v>
      </c>
      <c r="S32">
        <f>S29*SQRT(S23-2)/SQRT(1-S29^2)</f>
        <v>0.80829037686547611</v>
      </c>
      <c r="T32">
        <f>_xlfn.T.INV.2T(0.05, S23-2)</f>
        <v>2.1603686564627926</v>
      </c>
      <c r="U32" t="s">
        <v>271</v>
      </c>
      <c r="AC32" s="9" t="s">
        <v>26</v>
      </c>
      <c r="AD32" s="9">
        <v>3.3674874374699994E-2</v>
      </c>
      <c r="AP32" s="9" t="s">
        <v>26</v>
      </c>
      <c r="AQ32" s="9">
        <v>2.1198550774124914E-2</v>
      </c>
      <c r="AY32" s="100"/>
      <c r="AZ32" s="12" t="s">
        <v>24</v>
      </c>
      <c r="BA32" s="12"/>
    </row>
    <row r="33" spans="2:60" ht="15.6" x14ac:dyDescent="0.35">
      <c r="B33" t="s">
        <v>306</v>
      </c>
      <c r="C33" t="s">
        <v>307</v>
      </c>
      <c r="D33" t="s">
        <v>308</v>
      </c>
      <c r="E33" t="s">
        <v>309</v>
      </c>
      <c r="F33" t="s">
        <v>310</v>
      </c>
      <c r="G33" t="s">
        <v>15</v>
      </c>
      <c r="H33" t="s">
        <v>18</v>
      </c>
      <c r="I33" s="9" t="s">
        <v>26</v>
      </c>
      <c r="J33" s="9">
        <v>0.8300830731950446</v>
      </c>
      <c r="AC33" s="9" t="s">
        <v>27</v>
      </c>
      <c r="AD33" s="9">
        <v>-0.12737931322951668</v>
      </c>
      <c r="AP33" s="9" t="s">
        <v>27</v>
      </c>
      <c r="AQ33" s="9">
        <v>-5.4093868397096248E-2</v>
      </c>
      <c r="AY33" s="100"/>
      <c r="AZ33" s="9" t="s">
        <v>25</v>
      </c>
      <c r="BA33" s="9">
        <v>0.18913869160143962</v>
      </c>
    </row>
    <row r="34" spans="2:60" x14ac:dyDescent="0.3">
      <c r="B34">
        <f>MAX(G9:G23) - MIN(G9:G23)</f>
        <v>0.34278928788760243</v>
      </c>
      <c r="C34">
        <f>SQRT(SUMSQ(G9:G23)/(B23-1))</f>
        <v>8.6532916137905994E-2</v>
      </c>
      <c r="D34">
        <f>B34/C34</f>
        <v>3.9613745056425134</v>
      </c>
      <c r="E34">
        <v>2.96</v>
      </c>
      <c r="F34">
        <v>4.1399999999999997</v>
      </c>
      <c r="G34" t="s">
        <v>311</v>
      </c>
      <c r="H34" t="s">
        <v>18</v>
      </c>
      <c r="I34" s="9" t="s">
        <v>27</v>
      </c>
      <c r="J34" s="9">
        <v>0.7876038414938058</v>
      </c>
      <c r="AC34" s="9" t="s">
        <v>28</v>
      </c>
      <c r="AD34" s="9">
        <v>1.1723599528288305E-2</v>
      </c>
      <c r="AP34" s="9" t="s">
        <v>28</v>
      </c>
      <c r="AQ34" s="9">
        <v>3.6573136101980563</v>
      </c>
      <c r="AY34" s="100"/>
      <c r="AZ34" s="9" t="s">
        <v>26</v>
      </c>
      <c r="BA34" s="9">
        <v>3.5773444660704486E-2</v>
      </c>
    </row>
    <row r="35" spans="2:60" ht="15" thickBot="1" x14ac:dyDescent="0.35">
      <c r="I35" s="9" t="s">
        <v>28</v>
      </c>
      <c r="J35" s="9">
        <v>8.3617326913061576E-2</v>
      </c>
      <c r="AC35" s="10" t="s">
        <v>29</v>
      </c>
      <c r="AD35" s="10">
        <v>15</v>
      </c>
      <c r="AP35" s="10" t="s">
        <v>29</v>
      </c>
      <c r="AQ35" s="10">
        <v>15</v>
      </c>
      <c r="AY35" s="100"/>
      <c r="AZ35" s="9" t="s">
        <v>27</v>
      </c>
      <c r="BA35" s="9">
        <v>-3.8397828826933628E-2</v>
      </c>
    </row>
    <row r="36" spans="2:60" ht="15" thickBot="1" x14ac:dyDescent="0.35">
      <c r="I36" s="10" t="s">
        <v>29</v>
      </c>
      <c r="J36" s="10">
        <v>6</v>
      </c>
      <c r="AY36" s="100"/>
      <c r="AZ36" s="9" t="s">
        <v>28</v>
      </c>
      <c r="BA36" s="9">
        <v>6.4460063111851235E-2</v>
      </c>
    </row>
    <row r="37" spans="2:60" ht="24" customHeight="1" thickBot="1" x14ac:dyDescent="0.35">
      <c r="B37" s="181" t="s">
        <v>312</v>
      </c>
      <c r="C37" s="181"/>
      <c r="D37" s="181"/>
      <c r="E37" s="181"/>
      <c r="F37" s="181"/>
      <c r="G37" s="181"/>
      <c r="AC37" t="s">
        <v>30</v>
      </c>
      <c r="AP37" t="s">
        <v>30</v>
      </c>
      <c r="AY37" s="100"/>
      <c r="AZ37" s="10" t="s">
        <v>29</v>
      </c>
      <c r="BA37" s="10">
        <v>15</v>
      </c>
    </row>
    <row r="38" spans="2:60" ht="16.2" thickBot="1" x14ac:dyDescent="0.4">
      <c r="B38" t="s">
        <v>315</v>
      </c>
      <c r="C38" t="s">
        <v>313</v>
      </c>
      <c r="D38" t="s">
        <v>314</v>
      </c>
      <c r="E38" t="s">
        <v>316</v>
      </c>
      <c r="F38" t="s">
        <v>15</v>
      </c>
      <c r="I38" t="s">
        <v>30</v>
      </c>
      <c r="P38" s="88"/>
      <c r="AC38" s="11"/>
      <c r="AD38" s="11" t="s">
        <v>35</v>
      </c>
      <c r="AE38" s="11" t="s">
        <v>36</v>
      </c>
      <c r="AF38" s="11" t="s">
        <v>37</v>
      </c>
      <c r="AG38" s="11" t="s">
        <v>38</v>
      </c>
      <c r="AH38" s="11" t="s">
        <v>39</v>
      </c>
      <c r="AP38" s="11"/>
      <c r="AQ38" s="11" t="s">
        <v>35</v>
      </c>
      <c r="AR38" s="11" t="s">
        <v>36</v>
      </c>
      <c r="AS38" s="11" t="s">
        <v>37</v>
      </c>
      <c r="AT38" s="11" t="s">
        <v>38</v>
      </c>
      <c r="AU38" s="11" t="s">
        <v>39</v>
      </c>
      <c r="AY38" s="100"/>
    </row>
    <row r="39" spans="2:60" ht="16.2" thickBot="1" x14ac:dyDescent="0.4">
      <c r="B39">
        <f>SKEW(G9:G23)</f>
        <v>-0.26984481947513517</v>
      </c>
      <c r="C39">
        <f>KURT(G9:G23)</f>
        <v>1.0117979982302261</v>
      </c>
      <c r="D39">
        <f>B23/6*(B39^2 + C39^2/4)</f>
        <v>0.82187505975810371</v>
      </c>
      <c r="E39">
        <f>_xlfn.CHISQ.INV.RT(0.05, 2)</f>
        <v>5.9914645471079817</v>
      </c>
      <c r="F39" t="s">
        <v>317</v>
      </c>
      <c r="H39" t="s">
        <v>18</v>
      </c>
      <c r="I39" s="11"/>
      <c r="J39" s="11" t="s">
        <v>35</v>
      </c>
      <c r="K39" s="11" t="s">
        <v>36</v>
      </c>
      <c r="L39" s="11" t="s">
        <v>37</v>
      </c>
      <c r="M39" s="11" t="s">
        <v>38</v>
      </c>
      <c r="N39" s="11" t="s">
        <v>39</v>
      </c>
      <c r="AC39" s="9" t="s">
        <v>31</v>
      </c>
      <c r="AD39" s="9">
        <v>2</v>
      </c>
      <c r="AE39" s="9">
        <v>5.7475916866621011E-5</v>
      </c>
      <c r="AF39" s="9">
        <v>2.8737958433310506E-5</v>
      </c>
      <c r="AG39" s="9">
        <v>0.20909033708241401</v>
      </c>
      <c r="AH39" s="9">
        <v>0.814215997849843</v>
      </c>
      <c r="AP39" s="9" t="s">
        <v>31</v>
      </c>
      <c r="AQ39" s="9">
        <v>1</v>
      </c>
      <c r="AR39" s="9">
        <v>3.765991405741886</v>
      </c>
      <c r="AS39" s="9">
        <v>3.765991405741886</v>
      </c>
      <c r="AT39" s="9">
        <v>0.28154960363164405</v>
      </c>
      <c r="AU39" s="9">
        <v>0.6046338195990113</v>
      </c>
      <c r="AY39" s="100"/>
      <c r="AZ39" t="s">
        <v>30</v>
      </c>
    </row>
    <row r="40" spans="2:60" x14ac:dyDescent="0.3">
      <c r="I40" s="9" t="s">
        <v>31</v>
      </c>
      <c r="J40" s="9">
        <v>1</v>
      </c>
      <c r="K40" s="9">
        <v>0.13662729320577993</v>
      </c>
      <c r="L40" s="9">
        <v>0.13662729320577993</v>
      </c>
      <c r="M40" s="9">
        <v>19.540915406218058</v>
      </c>
      <c r="N40" s="9">
        <v>1.1506333747849377E-2</v>
      </c>
      <c r="P40" s="88"/>
      <c r="AC40" s="9" t="s">
        <v>32</v>
      </c>
      <c r="AD40" s="9">
        <v>12</v>
      </c>
      <c r="AE40" s="9">
        <v>1.6493134307961812E-3</v>
      </c>
      <c r="AF40" s="9">
        <v>1.3744278589968177E-4</v>
      </c>
      <c r="AG40" s="9"/>
      <c r="AH40" s="9"/>
      <c r="AP40" s="9" t="s">
        <v>32</v>
      </c>
      <c r="AQ40" s="9">
        <v>13</v>
      </c>
      <c r="AR40" s="9">
        <v>173.88725696341922</v>
      </c>
      <c r="AS40" s="9">
        <v>13.37594284333994</v>
      </c>
      <c r="AT40" s="9"/>
      <c r="AU40" s="9"/>
      <c r="AY40" s="100"/>
      <c r="AZ40" s="11"/>
      <c r="BA40" s="11" t="s">
        <v>35</v>
      </c>
      <c r="BB40" s="11" t="s">
        <v>36</v>
      </c>
      <c r="BC40" s="11" t="s">
        <v>37</v>
      </c>
      <c r="BD40" s="11" t="s">
        <v>38</v>
      </c>
      <c r="BE40" s="11" t="s">
        <v>39</v>
      </c>
    </row>
    <row r="41" spans="2:60" ht="15" thickBot="1" x14ac:dyDescent="0.35">
      <c r="I41" s="9" t="s">
        <v>32</v>
      </c>
      <c r="J41" s="9">
        <v>4</v>
      </c>
      <c r="K41" s="9">
        <v>2.7967429440343243E-2</v>
      </c>
      <c r="L41" s="9">
        <v>6.9918573600858108E-3</v>
      </c>
      <c r="M41" s="9"/>
      <c r="N41" s="9"/>
      <c r="AC41" s="10" t="s">
        <v>33</v>
      </c>
      <c r="AD41" s="10">
        <v>14</v>
      </c>
      <c r="AE41" s="10">
        <v>1.7067893476628022E-3</v>
      </c>
      <c r="AF41" s="10"/>
      <c r="AG41" s="10"/>
      <c r="AH41" s="10"/>
      <c r="AP41" s="10" t="s">
        <v>33</v>
      </c>
      <c r="AQ41" s="10">
        <v>14</v>
      </c>
      <c r="AR41" s="10">
        <v>177.6532483691611</v>
      </c>
      <c r="AS41" s="10"/>
      <c r="AT41" s="10"/>
      <c r="AU41" s="10"/>
      <c r="AY41" s="100"/>
      <c r="AZ41" s="9" t="s">
        <v>31</v>
      </c>
      <c r="BA41" s="9">
        <v>1</v>
      </c>
      <c r="BB41" s="9">
        <v>2.0040404254891078E-3</v>
      </c>
      <c r="BC41" s="9">
        <v>2.0040404254891078E-3</v>
      </c>
      <c r="BD41" s="9">
        <v>0.48230862136493763</v>
      </c>
      <c r="BE41" s="9">
        <v>0.49960255571338164</v>
      </c>
    </row>
    <row r="42" spans="2:60" ht="15" thickBot="1" x14ac:dyDescent="0.35">
      <c r="I42" s="10" t="s">
        <v>33</v>
      </c>
      <c r="J42" s="10">
        <v>5</v>
      </c>
      <c r="K42" s="10">
        <v>0.16459472264612318</v>
      </c>
      <c r="L42" s="10"/>
      <c r="M42" s="10"/>
      <c r="N42" s="10"/>
      <c r="AY42" s="100"/>
      <c r="AZ42" s="9" t="s">
        <v>32</v>
      </c>
      <c r="BA42" s="9">
        <v>13</v>
      </c>
      <c r="BB42" s="9">
        <v>5.401629657298998E-2</v>
      </c>
      <c r="BC42" s="9">
        <v>4.1550997363838443E-3</v>
      </c>
      <c r="BD42" s="9"/>
      <c r="BE42" s="9"/>
    </row>
    <row r="43" spans="2:60" ht="15" thickBot="1" x14ac:dyDescent="0.35">
      <c r="AC43" s="11"/>
      <c r="AD43" s="11" t="s">
        <v>40</v>
      </c>
      <c r="AE43" s="11" t="s">
        <v>28</v>
      </c>
      <c r="AF43" s="11" t="s">
        <v>41</v>
      </c>
      <c r="AG43" s="11" t="s">
        <v>42</v>
      </c>
      <c r="AH43" s="11" t="s">
        <v>43</v>
      </c>
      <c r="AI43" s="11" t="s">
        <v>44</v>
      </c>
      <c r="AJ43" s="11" t="s">
        <v>45</v>
      </c>
      <c r="AK43" s="11" t="s">
        <v>46</v>
      </c>
      <c r="AP43" s="11"/>
      <c r="AQ43" s="11" t="s">
        <v>40</v>
      </c>
      <c r="AR43" s="11" t="s">
        <v>28</v>
      </c>
      <c r="AS43" s="11" t="s">
        <v>41</v>
      </c>
      <c r="AT43" s="11" t="s">
        <v>42</v>
      </c>
      <c r="AU43" s="11" t="s">
        <v>43</v>
      </c>
      <c r="AV43" s="11" t="s">
        <v>44</v>
      </c>
      <c r="AW43" s="11" t="s">
        <v>45</v>
      </c>
      <c r="AX43" s="11" t="s">
        <v>46</v>
      </c>
      <c r="AY43" s="100"/>
      <c r="AZ43" s="10" t="s">
        <v>33</v>
      </c>
      <c r="BA43" s="10">
        <v>14</v>
      </c>
      <c r="BB43" s="10">
        <v>5.6020336998479088E-2</v>
      </c>
      <c r="BC43" s="10"/>
      <c r="BD43" s="10"/>
      <c r="BE43" s="10"/>
    </row>
    <row r="44" spans="2:60" ht="15" thickBot="1" x14ac:dyDescent="0.35">
      <c r="I44" s="11"/>
      <c r="J44" s="11" t="s">
        <v>40</v>
      </c>
      <c r="K44" s="11" t="s">
        <v>28</v>
      </c>
      <c r="L44" s="11" t="s">
        <v>41</v>
      </c>
      <c r="M44" s="11" t="s">
        <v>42</v>
      </c>
      <c r="N44" s="11" t="s">
        <v>43</v>
      </c>
      <c r="O44" s="11" t="s">
        <v>44</v>
      </c>
      <c r="P44" s="11" t="s">
        <v>45</v>
      </c>
      <c r="Q44" s="11" t="s">
        <v>46</v>
      </c>
      <c r="AC44" s="9" t="s">
        <v>34</v>
      </c>
      <c r="AD44" s="9">
        <v>-0.35419804737711341</v>
      </c>
      <c r="AE44" s="9">
        <v>0.82377669272670739</v>
      </c>
      <c r="AF44" s="9">
        <v>-0.42996852242167116</v>
      </c>
      <c r="AG44" s="9">
        <v>0.67483861175067417</v>
      </c>
      <c r="AH44" s="9">
        <v>-2.1490532742709019</v>
      </c>
      <c r="AI44" s="9">
        <v>1.4406571795166749</v>
      </c>
      <c r="AJ44" s="9">
        <v>-2.1490532742709019</v>
      </c>
      <c r="AK44" s="9">
        <v>1.4406571795166749</v>
      </c>
      <c r="AP44" s="9" t="s">
        <v>34</v>
      </c>
      <c r="AQ44" s="9">
        <v>-16.819191912005152</v>
      </c>
      <c r="AR44" s="9">
        <v>17.3516966731708</v>
      </c>
      <c r="AS44" s="9">
        <v>-0.96931108402851429</v>
      </c>
      <c r="AT44" s="9">
        <v>0.35007929024991424</v>
      </c>
      <c r="AU44" s="9">
        <v>-54.305253541173059</v>
      </c>
      <c r="AV44" s="9">
        <v>20.666869717162754</v>
      </c>
      <c r="AW44" s="9">
        <v>-54.305253541173059</v>
      </c>
      <c r="AX44" s="9">
        <v>20.666869717162754</v>
      </c>
      <c r="AY44" s="100"/>
    </row>
    <row r="45" spans="2:60" ht="15" thickBot="1" x14ac:dyDescent="0.35">
      <c r="I45" s="9" t="s">
        <v>34</v>
      </c>
      <c r="J45" s="9">
        <v>1.6232081815117447</v>
      </c>
      <c r="K45" s="9">
        <v>0.76100603698388714</v>
      </c>
      <c r="L45" s="9">
        <v>2.1329767473922328</v>
      </c>
      <c r="M45" s="9">
        <v>9.9873025170032076E-2</v>
      </c>
      <c r="N45" s="9">
        <v>-0.48968330489813949</v>
      </c>
      <c r="O45" s="9">
        <v>3.736099667921629</v>
      </c>
      <c r="P45" s="9">
        <v>-0.48968330489813949</v>
      </c>
      <c r="Q45" s="9">
        <v>3.736099667921629</v>
      </c>
      <c r="AC45" s="9" t="s">
        <v>249</v>
      </c>
      <c r="AD45" s="9">
        <v>0.22841035248765293</v>
      </c>
      <c r="AE45" s="9">
        <v>0.5394028800330255</v>
      </c>
      <c r="AF45" s="9">
        <v>0.42345037622651971</v>
      </c>
      <c r="AG45" s="9">
        <v>0.67945725670382595</v>
      </c>
      <c r="AH45" s="9">
        <v>-0.94684756288775584</v>
      </c>
      <c r="AI45" s="9">
        <v>1.4036682678630616</v>
      </c>
      <c r="AJ45" s="9">
        <v>-0.94684756288775584</v>
      </c>
      <c r="AK45" s="9">
        <v>1.4036682678630616</v>
      </c>
      <c r="AP45" s="10" t="s">
        <v>278</v>
      </c>
      <c r="AQ45" s="10">
        <v>8.064303523662085</v>
      </c>
      <c r="AR45" s="10">
        <v>15.198103761072581</v>
      </c>
      <c r="AS45" s="10">
        <v>0.53061247971720393</v>
      </c>
      <c r="AT45" s="10">
        <v>0.60463381959901374</v>
      </c>
      <c r="AU45" s="10">
        <v>-24.769203479428406</v>
      </c>
      <c r="AV45" s="10">
        <v>40.897810526752572</v>
      </c>
      <c r="AW45" s="10">
        <v>-24.769203479428406</v>
      </c>
      <c r="AX45" s="10">
        <v>40.897810526752572</v>
      </c>
      <c r="AY45" s="100"/>
      <c r="AZ45" s="11"/>
      <c r="BA45" s="11" t="s">
        <v>40</v>
      </c>
      <c r="BB45" s="11" t="s">
        <v>28</v>
      </c>
      <c r="BC45" s="11" t="s">
        <v>41</v>
      </c>
      <c r="BD45" s="11" t="s">
        <v>42</v>
      </c>
      <c r="BE45" s="11" t="s">
        <v>43</v>
      </c>
      <c r="BF45" s="11" t="s">
        <v>44</v>
      </c>
      <c r="BG45" s="11" t="s">
        <v>45</v>
      </c>
      <c r="BH45" s="11" t="s">
        <v>46</v>
      </c>
    </row>
    <row r="46" spans="2:60" ht="15" thickBot="1" x14ac:dyDescent="0.35">
      <c r="I46" s="10" t="s">
        <v>254</v>
      </c>
      <c r="J46" s="10">
        <v>1.1446796157130312</v>
      </c>
      <c r="K46" s="10">
        <v>0.2589473653772783</v>
      </c>
      <c r="L46" s="10">
        <v>4.4205107630474183</v>
      </c>
      <c r="M46" s="10">
        <v>1.1506333747849368E-2</v>
      </c>
      <c r="N46" s="10">
        <v>0.4257264706074223</v>
      </c>
      <c r="O46" s="10">
        <v>1.86363276081864</v>
      </c>
      <c r="P46" s="10">
        <v>0.4257264706074223</v>
      </c>
      <c r="Q46" s="10">
        <v>1.86363276081864</v>
      </c>
      <c r="AC46" s="10" t="s">
        <v>273</v>
      </c>
      <c r="AD46" s="10">
        <v>-3.5975751511030496E-2</v>
      </c>
      <c r="AE46" s="10">
        <v>8.8001064359342587E-2</v>
      </c>
      <c r="AF46" s="10">
        <v>-0.40881041352099451</v>
      </c>
      <c r="AG46" s="10">
        <v>0.68988030538815481</v>
      </c>
      <c r="AH46" s="10">
        <v>-0.22771359956153761</v>
      </c>
      <c r="AI46" s="10">
        <v>0.15576209653947662</v>
      </c>
      <c r="AJ46" s="10">
        <v>-0.22771359956153761</v>
      </c>
      <c r="AK46" s="10">
        <v>0.15576209653947662</v>
      </c>
      <c r="AY46" s="100"/>
      <c r="AZ46" s="9" t="s">
        <v>34</v>
      </c>
      <c r="BA46" s="9">
        <v>0.23842167732056618</v>
      </c>
      <c r="BB46" s="9">
        <v>0.26169807105129361</v>
      </c>
      <c r="BC46" s="9">
        <v>0.91105630378847846</v>
      </c>
      <c r="BD46" s="9">
        <v>0.37884945386371127</v>
      </c>
      <c r="BE46" s="9">
        <v>-0.32694263283542147</v>
      </c>
      <c r="BF46" s="9">
        <v>0.80378598747655383</v>
      </c>
      <c r="BG46" s="9">
        <v>-0.32694263283542147</v>
      </c>
      <c r="BH46" s="9">
        <v>0.80378598747655383</v>
      </c>
    </row>
    <row r="47" spans="2:60" ht="15" thickBot="1" x14ac:dyDescent="0.35">
      <c r="AY47" s="100"/>
      <c r="AZ47" s="10" t="s">
        <v>294</v>
      </c>
      <c r="BA47" s="10">
        <v>-0.56601813293642067</v>
      </c>
      <c r="BB47" s="10">
        <v>0.81501918509033566</v>
      </c>
      <c r="BC47" s="10">
        <v>-0.69448442845389458</v>
      </c>
      <c r="BD47" s="10">
        <v>0.49960255571338374</v>
      </c>
      <c r="BE47" s="10">
        <v>-2.3267600348214295</v>
      </c>
      <c r="BF47" s="10">
        <v>1.1947237689485879</v>
      </c>
      <c r="BG47" s="10">
        <v>-2.3267600348214295</v>
      </c>
      <c r="BH47" s="10">
        <v>1.1947237689485879</v>
      </c>
    </row>
    <row r="48" spans="2:60" x14ac:dyDescent="0.3">
      <c r="AY48" s="100"/>
    </row>
    <row r="49" spans="9:60" x14ac:dyDescent="0.3">
      <c r="AP49" t="s">
        <v>47</v>
      </c>
      <c r="AY49" s="100"/>
    </row>
    <row r="50" spans="9:60" ht="20.399999999999999" customHeight="1" thickBot="1" x14ac:dyDescent="0.35">
      <c r="I50" t="s">
        <v>47</v>
      </c>
      <c r="AC50" t="s">
        <v>47</v>
      </c>
      <c r="AY50" s="100"/>
      <c r="AZ50" s="190" t="s">
        <v>303</v>
      </c>
      <c r="BA50" s="190"/>
      <c r="BB50" s="190"/>
      <c r="BC50" s="190"/>
      <c r="BD50" s="190"/>
      <c r="BE50" s="190"/>
      <c r="BF50" s="190"/>
      <c r="BG50" s="190"/>
    </row>
    <row r="51" spans="9:60" ht="15" thickBot="1" x14ac:dyDescent="0.35">
      <c r="AP51" s="11" t="s">
        <v>48</v>
      </c>
      <c r="AQ51" s="11" t="s">
        <v>281</v>
      </c>
      <c r="AR51" s="11" t="s">
        <v>49</v>
      </c>
      <c r="AY51" s="100"/>
      <c r="AZ51" s="100"/>
      <c r="BA51" s="100"/>
      <c r="BB51" s="100"/>
      <c r="BC51" s="100"/>
      <c r="BD51" s="100"/>
      <c r="BE51" s="100"/>
      <c r="BF51" s="100"/>
      <c r="BG51" s="100"/>
      <c r="BH51" s="100"/>
    </row>
    <row r="52" spans="9:60" x14ac:dyDescent="0.3">
      <c r="I52" s="11" t="s">
        <v>48</v>
      </c>
      <c r="J52" s="11" t="s">
        <v>255</v>
      </c>
      <c r="K52" s="11" t="s">
        <v>49</v>
      </c>
      <c r="AC52" s="11" t="s">
        <v>48</v>
      </c>
      <c r="AD52" s="11" t="s">
        <v>250</v>
      </c>
      <c r="AE52" s="11" t="s">
        <v>49</v>
      </c>
      <c r="AP52" s="9">
        <v>1</v>
      </c>
      <c r="AQ52" s="9">
        <v>-8.7852997402032411</v>
      </c>
      <c r="AR52" s="9">
        <v>-2.3139173082370679</v>
      </c>
      <c r="AY52" s="100"/>
      <c r="AZ52" t="s">
        <v>23</v>
      </c>
    </row>
    <row r="53" spans="9:60" ht="15" thickBot="1" x14ac:dyDescent="0.35">
      <c r="I53" s="9">
        <v>1</v>
      </c>
      <c r="J53" s="9">
        <v>4.7230580450410198</v>
      </c>
      <c r="K53" s="9">
        <v>5.2361116506756566E-2</v>
      </c>
      <c r="AC53" s="9">
        <v>1</v>
      </c>
      <c r="AD53" s="9">
        <v>5.1918867424899373E-4</v>
      </c>
      <c r="AE53" s="9">
        <v>-5.0406451357839772E-4</v>
      </c>
      <c r="AP53" s="9">
        <v>2</v>
      </c>
      <c r="AQ53" s="9">
        <v>-8.2598600697829543</v>
      </c>
      <c r="AR53" s="9">
        <v>3.6351457496726569</v>
      </c>
      <c r="AY53" s="100"/>
    </row>
    <row r="54" spans="9:60" x14ac:dyDescent="0.3">
      <c r="I54" s="9">
        <v>2</v>
      </c>
      <c r="J54" s="9">
        <v>4.9317578146081242</v>
      </c>
      <c r="K54" s="9">
        <v>-0.10376412851674832</v>
      </c>
      <c r="AC54" s="9">
        <v>2</v>
      </c>
      <c r="AD54" s="9">
        <v>5.4424022182031351E-3</v>
      </c>
      <c r="AE54" s="9">
        <v>4.3640539247989506E-3</v>
      </c>
      <c r="AP54" s="9">
        <v>3</v>
      </c>
      <c r="AQ54" s="9">
        <v>-8.2598600697829543</v>
      </c>
      <c r="AR54" s="9">
        <v>1.1079098535724761</v>
      </c>
      <c r="AY54" s="100"/>
      <c r="AZ54" s="12" t="s">
        <v>24</v>
      </c>
      <c r="BA54" s="12"/>
    </row>
    <row r="55" spans="9:60" x14ac:dyDescent="0.3">
      <c r="I55" s="9">
        <v>3</v>
      </c>
      <c r="J55" s="9">
        <v>4.9317578146081242</v>
      </c>
      <c r="K55" s="9">
        <v>-3.2724697093170718E-2</v>
      </c>
      <c r="AC55" s="9">
        <v>3</v>
      </c>
      <c r="AD55" s="9">
        <v>5.4424022182031351E-3</v>
      </c>
      <c r="AE55" s="9">
        <v>-4.6590672999626322E-3</v>
      </c>
      <c r="AP55" s="9">
        <v>4</v>
      </c>
      <c r="AQ55" s="9">
        <v>-8.1104029639020574</v>
      </c>
      <c r="AR55" s="9">
        <v>2.8075708706125049</v>
      </c>
      <c r="AY55" s="100"/>
      <c r="AZ55" s="9" t="s">
        <v>25</v>
      </c>
      <c r="BA55" s="9">
        <v>0.1888300315506857</v>
      </c>
    </row>
    <row r="56" spans="9:60" x14ac:dyDescent="0.3">
      <c r="I56" s="9">
        <v>4</v>
      </c>
      <c r="J56" s="9">
        <v>4.9936474606744561</v>
      </c>
      <c r="K56" s="9">
        <v>5.0035687468000134E-2</v>
      </c>
      <c r="AC56" s="9">
        <v>4</v>
      </c>
      <c r="AD56" s="9">
        <v>6.4425728910902924E-3</v>
      </c>
      <c r="AE56" s="9">
        <v>-1.4650956445030026E-3</v>
      </c>
      <c r="AP56" s="9">
        <v>5</v>
      </c>
      <c r="AQ56" s="9">
        <v>-7.2012187337183367</v>
      </c>
      <c r="AR56" s="9">
        <v>3.8867812173577638</v>
      </c>
      <c r="AY56" s="100"/>
      <c r="AZ56" s="9" t="s">
        <v>26</v>
      </c>
      <c r="BA56" s="9">
        <v>3.5656780815432956E-2</v>
      </c>
    </row>
    <row r="57" spans="9:60" x14ac:dyDescent="0.3">
      <c r="I57" s="9">
        <v>5</v>
      </c>
      <c r="J57" s="9">
        <v>5.1614614691746077</v>
      </c>
      <c r="K57" s="9">
        <v>-5.4728426699711008E-2</v>
      </c>
      <c r="AC57" s="9">
        <v>5</v>
      </c>
      <c r="AD57" s="9">
        <v>8.0961680454954554E-3</v>
      </c>
      <c r="AE57" s="9">
        <v>2.8258323588626934E-2</v>
      </c>
      <c r="AP57" s="9">
        <v>6</v>
      </c>
      <c r="AQ57" s="9">
        <v>-7.7185576650656849</v>
      </c>
      <c r="AR57" s="9">
        <v>-1.7999800905188703</v>
      </c>
      <c r="AY57" s="100"/>
      <c r="AZ57" s="9" t="s">
        <v>27</v>
      </c>
      <c r="BA57" s="9">
        <v>-3.8523466814149122E-2</v>
      </c>
    </row>
    <row r="58" spans="9:60" ht="15" thickBot="1" x14ac:dyDescent="0.35">
      <c r="I58" s="10">
        <v>6</v>
      </c>
      <c r="J58" s="10">
        <v>5.1614614691746077</v>
      </c>
      <c r="K58" s="10">
        <v>8.8820448334872459E-2</v>
      </c>
      <c r="AC58" s="9">
        <v>6</v>
      </c>
      <c r="AD58" s="9">
        <v>8.0961680454954554E-3</v>
      </c>
      <c r="AE58" s="9">
        <v>-8.022691018286749E-3</v>
      </c>
      <c r="AP58" s="9">
        <v>7</v>
      </c>
      <c r="AQ58" s="9">
        <v>-7.6034122432076821</v>
      </c>
      <c r="AR58" s="9">
        <v>-8.8089747380089918</v>
      </c>
      <c r="AY58" s="100"/>
      <c r="AZ58" s="9" t="s">
        <v>28</v>
      </c>
      <c r="BA58" s="9">
        <v>6.4463962574758144E-2</v>
      </c>
    </row>
    <row r="59" spans="9:60" ht="15" thickBot="1" x14ac:dyDescent="0.35">
      <c r="AC59" s="9">
        <v>7</v>
      </c>
      <c r="AD59" s="9">
        <v>8.2920232447942777E-3</v>
      </c>
      <c r="AE59" s="9">
        <v>-8.291948738854131E-3</v>
      </c>
      <c r="AP59" s="9">
        <v>8</v>
      </c>
      <c r="AQ59" s="9">
        <v>-7.4946876893395729</v>
      </c>
      <c r="AR59" s="9">
        <v>-1.5429783173286342</v>
      </c>
      <c r="AY59" s="100"/>
      <c r="AZ59" s="10" t="s">
        <v>29</v>
      </c>
      <c r="BA59" s="10">
        <v>15</v>
      </c>
    </row>
    <row r="60" spans="9:60" x14ac:dyDescent="0.3">
      <c r="AC60" s="9">
        <v>8</v>
      </c>
      <c r="AD60" s="9">
        <v>8.3463172608391756E-3</v>
      </c>
      <c r="AE60" s="9">
        <v>-8.2274693576330094E-3</v>
      </c>
      <c r="AP60" s="9">
        <v>9</v>
      </c>
      <c r="AQ60" s="9">
        <v>-7.4946876893395729</v>
      </c>
      <c r="AR60" s="9">
        <v>-3.0964265456863576</v>
      </c>
      <c r="AY60" s="100"/>
    </row>
    <row r="61" spans="9:60" ht="15" thickBot="1" x14ac:dyDescent="0.35">
      <c r="I61" s="192" t="s">
        <v>256</v>
      </c>
      <c r="J61" s="192"/>
      <c r="K61" s="192"/>
      <c r="L61" s="192"/>
      <c r="M61" s="192"/>
      <c r="N61" s="192"/>
      <c r="AC61" s="9">
        <v>9</v>
      </c>
      <c r="AD61" s="9">
        <v>8.3463172608391756E-3</v>
      </c>
      <c r="AE61" s="9">
        <v>-8.321178866736707E-3</v>
      </c>
      <c r="AP61" s="9">
        <v>10</v>
      </c>
      <c r="AQ61" s="9">
        <v>-7.2012187337183367</v>
      </c>
      <c r="AR61" s="9">
        <v>2.4714473705571818</v>
      </c>
      <c r="AY61" s="100"/>
      <c r="AZ61" t="s">
        <v>30</v>
      </c>
    </row>
    <row r="62" spans="9:60" x14ac:dyDescent="0.3">
      <c r="I62" t="s">
        <v>23</v>
      </c>
      <c r="AC62" s="9">
        <v>10</v>
      </c>
      <c r="AD62" s="9">
        <v>7.8171498225272362E-3</v>
      </c>
      <c r="AE62" s="9">
        <v>1.0113395043547732E-3</v>
      </c>
      <c r="AP62" s="9">
        <v>11</v>
      </c>
      <c r="AQ62" s="9">
        <v>-7.7185576650656849</v>
      </c>
      <c r="AR62" s="9">
        <v>3.9523963236997925</v>
      </c>
      <c r="AY62" s="100"/>
      <c r="AZ62" s="11"/>
      <c r="BA62" s="11" t="s">
        <v>35</v>
      </c>
      <c r="BB62" s="11" t="s">
        <v>36</v>
      </c>
      <c r="BC62" s="11" t="s">
        <v>37</v>
      </c>
      <c r="BD62" s="11" t="s">
        <v>38</v>
      </c>
      <c r="BE62" s="11" t="s">
        <v>39</v>
      </c>
    </row>
    <row r="63" spans="9:60" ht="15" thickBot="1" x14ac:dyDescent="0.35">
      <c r="AC63" s="9">
        <v>11</v>
      </c>
      <c r="AD63" s="9">
        <v>7.8171498225272362E-3</v>
      </c>
      <c r="AE63" s="9">
        <v>1.5323572523532551E-2</v>
      </c>
      <c r="AP63" s="9">
        <v>12</v>
      </c>
      <c r="AQ63" s="9">
        <v>-7.2012187337183367</v>
      </c>
      <c r="AR63" s="9">
        <v>-1.6262019875129194</v>
      </c>
      <c r="AY63" s="100"/>
      <c r="AZ63" s="9" t="s">
        <v>31</v>
      </c>
      <c r="BA63" s="9">
        <v>1</v>
      </c>
      <c r="BB63" s="9">
        <v>1.9975048775614582E-3</v>
      </c>
      <c r="BC63" s="9">
        <v>1.9975048775614582E-3</v>
      </c>
      <c r="BD63" s="9">
        <v>0.48067756518533794</v>
      </c>
      <c r="BE63" s="9">
        <v>0.50031570105677359</v>
      </c>
    </row>
    <row r="64" spans="9:60" x14ac:dyDescent="0.3">
      <c r="I64" s="12" t="s">
        <v>24</v>
      </c>
      <c r="J64" s="12"/>
      <c r="AC64" s="9">
        <v>12</v>
      </c>
      <c r="AD64" s="9">
        <v>7.8171498225272362E-3</v>
      </c>
      <c r="AE64" s="9">
        <v>-7.6704938036956799E-3</v>
      </c>
      <c r="AP64" s="9">
        <v>13</v>
      </c>
      <c r="AQ64" s="9">
        <v>-7.1127211979763558</v>
      </c>
      <c r="AR64" s="9">
        <v>-1.9528659058587259</v>
      </c>
      <c r="AY64" s="100"/>
      <c r="AZ64" s="9" t="s">
        <v>32</v>
      </c>
      <c r="BA64" s="9">
        <v>13</v>
      </c>
      <c r="BB64" s="9">
        <v>5.402283212091763E-2</v>
      </c>
      <c r="BC64" s="9">
        <v>4.1556024708398181E-3</v>
      </c>
      <c r="BD64" s="9"/>
      <c r="BE64" s="9"/>
    </row>
    <row r="65" spans="9:60" ht="15" thickBot="1" x14ac:dyDescent="0.35">
      <c r="I65" s="9" t="s">
        <v>25</v>
      </c>
      <c r="J65" s="9">
        <v>0.78841314881247526</v>
      </c>
      <c r="AC65" s="9">
        <v>13</v>
      </c>
      <c r="AD65" s="9">
        <v>7.4520762426099618E-3</v>
      </c>
      <c r="AE65" s="9">
        <v>-7.3365008052438743E-3</v>
      </c>
      <c r="AP65" s="9">
        <v>14</v>
      </c>
      <c r="AQ65" s="9">
        <v>-7.1127211979763558</v>
      </c>
      <c r="AR65" s="9">
        <v>0.10252358374277026</v>
      </c>
      <c r="AY65" s="100"/>
      <c r="AZ65" s="10" t="s">
        <v>33</v>
      </c>
      <c r="BA65" s="10">
        <v>14</v>
      </c>
      <c r="BB65" s="10">
        <v>5.6020336998479088E-2</v>
      </c>
      <c r="BC65" s="10"/>
      <c r="BD65" s="10"/>
      <c r="BE65" s="10"/>
    </row>
    <row r="66" spans="9:60" ht="15" thickBot="1" x14ac:dyDescent="0.35">
      <c r="I66" s="9" t="s">
        <v>26</v>
      </c>
      <c r="J66" s="9">
        <v>0.62159529322040219</v>
      </c>
      <c r="AC66" s="9">
        <v>14</v>
      </c>
      <c r="AD66" s="9">
        <v>7.4520762426099618E-3</v>
      </c>
      <c r="AE66" s="9">
        <v>-6.5494460444143173E-3</v>
      </c>
      <c r="AP66" s="10">
        <v>15</v>
      </c>
      <c r="AQ66" s="10">
        <v>-7.1127211979763558</v>
      </c>
      <c r="AR66" s="10">
        <v>3.177569923936403</v>
      </c>
      <c r="AY66" s="100"/>
    </row>
    <row r="67" spans="9:60" ht="15" thickBot="1" x14ac:dyDescent="0.35">
      <c r="I67" s="9" t="s">
        <v>27</v>
      </c>
      <c r="J67" s="9">
        <v>0.52699411652550276</v>
      </c>
      <c r="AC67" s="10">
        <v>15</v>
      </c>
      <c r="AD67" s="10">
        <v>7.4520762426099618E-3</v>
      </c>
      <c r="AE67" s="10">
        <v>1.2090666551592816E-2</v>
      </c>
      <c r="AY67" s="100"/>
      <c r="AZ67" s="11"/>
      <c r="BA67" s="11" t="s">
        <v>40</v>
      </c>
      <c r="BB67" s="11" t="s">
        <v>28</v>
      </c>
      <c r="BC67" s="11" t="s">
        <v>41</v>
      </c>
      <c r="BD67" s="11" t="s">
        <v>42</v>
      </c>
      <c r="BE67" s="11" t="s">
        <v>43</v>
      </c>
      <c r="BF67" s="11" t="s">
        <v>44</v>
      </c>
      <c r="BG67" s="11" t="s">
        <v>45</v>
      </c>
      <c r="BH67" s="11" t="s">
        <v>46</v>
      </c>
    </row>
    <row r="68" spans="9:60" x14ac:dyDescent="0.3">
      <c r="I68" s="9" t="s">
        <v>28</v>
      </c>
      <c r="J68" s="9">
        <v>8.6983142151183537E-2</v>
      </c>
      <c r="AY68" s="100"/>
      <c r="AZ68" s="9" t="s">
        <v>34</v>
      </c>
      <c r="BA68" s="9">
        <v>0.42381098050063387</v>
      </c>
      <c r="BB68" s="9">
        <v>0.52927054667942486</v>
      </c>
      <c r="BC68" s="9">
        <v>0.80074544703001005</v>
      </c>
      <c r="BD68" s="9">
        <v>0.43766921578070528</v>
      </c>
      <c r="BE68" s="9">
        <v>-0.71960851933452297</v>
      </c>
      <c r="BF68" s="9">
        <v>1.5672304803357906</v>
      </c>
      <c r="BG68" s="9">
        <v>-0.71960851933452297</v>
      </c>
      <c r="BH68" s="9">
        <v>1.5672304803357906</v>
      </c>
    </row>
    <row r="69" spans="9:60" ht="15" thickBot="1" x14ac:dyDescent="0.35">
      <c r="I69" s="10" t="s">
        <v>29</v>
      </c>
      <c r="J69" s="10">
        <v>6</v>
      </c>
      <c r="AP69" t="s">
        <v>286</v>
      </c>
      <c r="AY69" s="100"/>
      <c r="AZ69" s="10" t="s">
        <v>295</v>
      </c>
      <c r="BA69" s="10">
        <v>-0.6482288402967642</v>
      </c>
      <c r="BB69" s="10">
        <v>0.93497806654168569</v>
      </c>
      <c r="BC69" s="10">
        <v>-0.6933091411378719</v>
      </c>
      <c r="BD69" s="10">
        <v>0.50031570105677536</v>
      </c>
      <c r="BE69" s="10">
        <v>-2.6681261497336051</v>
      </c>
      <c r="BF69" s="10">
        <v>1.3716684691400767</v>
      </c>
      <c r="BG69" s="10">
        <v>-2.6681261497336051</v>
      </c>
      <c r="BH69" s="10">
        <v>1.3716684691400767</v>
      </c>
    </row>
    <row r="70" spans="9:60" x14ac:dyDescent="0.3">
      <c r="AC70" t="s">
        <v>258</v>
      </c>
      <c r="AD70" t="s">
        <v>257</v>
      </c>
      <c r="AE70" t="s">
        <v>15</v>
      </c>
      <c r="AP70" t="s">
        <v>282</v>
      </c>
      <c r="AQ70" t="s">
        <v>283</v>
      </c>
      <c r="AR70" t="s">
        <v>15</v>
      </c>
      <c r="AY70" s="100"/>
    </row>
    <row r="71" spans="9:60" ht="15" thickBot="1" x14ac:dyDescent="0.35">
      <c r="I71" t="s">
        <v>30</v>
      </c>
      <c r="AC71">
        <f>AG39</f>
        <v>0.20909033708241401</v>
      </c>
      <c r="AD71">
        <f>_xlfn.F.INV.RT(0.05, AD39,AD40)</f>
        <v>3.8852938346523942</v>
      </c>
      <c r="AE71" t="s">
        <v>277</v>
      </c>
      <c r="AP71">
        <f>AT45</f>
        <v>0.60463381959901374</v>
      </c>
      <c r="AQ71">
        <v>0.05</v>
      </c>
      <c r="AR71" t="s">
        <v>285</v>
      </c>
      <c r="AY71" s="100"/>
    </row>
    <row r="72" spans="9:60" x14ac:dyDescent="0.3">
      <c r="I72" s="11"/>
      <c r="J72" s="11" t="s">
        <v>35</v>
      </c>
      <c r="K72" s="11" t="s">
        <v>36</v>
      </c>
      <c r="L72" s="11" t="s">
        <v>37</v>
      </c>
      <c r="M72" s="11" t="s">
        <v>38</v>
      </c>
      <c r="N72" s="11" t="s">
        <v>39</v>
      </c>
      <c r="AY72" s="100"/>
    </row>
    <row r="73" spans="9:60" x14ac:dyDescent="0.3">
      <c r="I73" s="9" t="s">
        <v>31</v>
      </c>
      <c r="J73" s="9">
        <v>1</v>
      </c>
      <c r="K73" s="9">
        <v>4.97143038934202E-2</v>
      </c>
      <c r="L73" s="9">
        <v>4.97143038934202E-2</v>
      </c>
      <c r="M73" s="9">
        <v>6.5706930393173044</v>
      </c>
      <c r="N73" s="9">
        <v>6.2417227988742711E-2</v>
      </c>
      <c r="AY73" s="100"/>
      <c r="AZ73" s="100"/>
      <c r="BA73" s="100"/>
      <c r="BB73" s="100"/>
      <c r="BC73" s="100"/>
      <c r="BD73" s="100"/>
      <c r="BE73" s="100"/>
      <c r="BF73" s="100"/>
      <c r="BG73" s="100"/>
      <c r="BH73" s="100"/>
    </row>
    <row r="74" spans="9:60" s="56" customFormat="1" ht="20.399999999999999" customHeight="1" thickBot="1" x14ac:dyDescent="0.35">
      <c r="I74" s="57" t="s">
        <v>32</v>
      </c>
      <c r="J74" s="57">
        <v>4</v>
      </c>
      <c r="K74" s="57">
        <v>3.0264268073972009E-2</v>
      </c>
      <c r="L74" s="57">
        <v>7.5660670184930024E-3</v>
      </c>
      <c r="M74" s="57"/>
      <c r="N74" s="57"/>
      <c r="P74" s="98"/>
      <c r="AY74" s="57"/>
      <c r="AZ74" s="189" t="s">
        <v>304</v>
      </c>
      <c r="BA74" s="189"/>
      <c r="BB74" s="189"/>
      <c r="BC74" s="189"/>
      <c r="BD74" s="189"/>
      <c r="BE74" s="189"/>
      <c r="BF74" s="189"/>
      <c r="BG74" s="189"/>
      <c r="BH74" s="189"/>
    </row>
    <row r="75" spans="9:60" ht="15" thickBot="1" x14ac:dyDescent="0.35">
      <c r="I75" s="10" t="s">
        <v>33</v>
      </c>
      <c r="J75" s="10">
        <v>5</v>
      </c>
      <c r="K75" s="10">
        <v>7.9978571967392206E-2</v>
      </c>
      <c r="L75" s="10"/>
      <c r="M75" s="10"/>
      <c r="N75" s="10"/>
      <c r="AY75" s="100"/>
    </row>
    <row r="76" spans="9:60" ht="15" thickBot="1" x14ac:dyDescent="0.35">
      <c r="P76" s="88"/>
      <c r="AY76" s="100"/>
      <c r="AZ76" t="s">
        <v>23</v>
      </c>
    </row>
    <row r="77" spans="9:60" ht="15" thickBot="1" x14ac:dyDescent="0.35">
      <c r="I77" s="11"/>
      <c r="J77" s="11" t="s">
        <v>40</v>
      </c>
      <c r="K77" s="11" t="s">
        <v>28</v>
      </c>
      <c r="L77" s="11" t="s">
        <v>41</v>
      </c>
      <c r="M77" s="11" t="s">
        <v>42</v>
      </c>
      <c r="N77" s="11" t="s">
        <v>43</v>
      </c>
      <c r="O77" s="11" t="s">
        <v>44</v>
      </c>
      <c r="P77" s="11" t="s">
        <v>45</v>
      </c>
      <c r="Q77" s="11" t="s">
        <v>46</v>
      </c>
      <c r="AY77" s="100"/>
    </row>
    <row r="78" spans="9:60" x14ac:dyDescent="0.3">
      <c r="I78" s="9" t="s">
        <v>34</v>
      </c>
      <c r="J78" s="9">
        <v>-11.31656438961781</v>
      </c>
      <c r="K78" s="9">
        <v>6.4719632998926455</v>
      </c>
      <c r="L78" s="9">
        <v>-1.7485520027292993</v>
      </c>
      <c r="M78" s="9">
        <v>0.1552786163405756</v>
      </c>
      <c r="N78" s="9">
        <v>-29.285615214624503</v>
      </c>
      <c r="O78" s="9">
        <v>6.6524864353888837</v>
      </c>
      <c r="P78" s="9">
        <v>-29.285615214624503</v>
      </c>
      <c r="Q78" s="9">
        <v>6.6524864353888837</v>
      </c>
      <c r="AY78" s="100"/>
      <c r="AZ78" s="12" t="s">
        <v>24</v>
      </c>
      <c r="BA78" s="12"/>
    </row>
    <row r="79" spans="9:60" ht="15" thickBot="1" x14ac:dyDescent="0.35">
      <c r="I79" s="10" t="s">
        <v>249</v>
      </c>
      <c r="J79" s="10">
        <v>5.0058736385789713</v>
      </c>
      <c r="K79" s="10">
        <v>1.9528743140769567</v>
      </c>
      <c r="L79" s="10">
        <v>2.563336310224881</v>
      </c>
      <c r="M79" s="10">
        <v>6.2417227988742705E-2</v>
      </c>
      <c r="N79" s="10">
        <v>-0.41617469180649369</v>
      </c>
      <c r="O79" s="10">
        <v>10.427921968964437</v>
      </c>
      <c r="P79" s="10">
        <v>-0.41617469180649369</v>
      </c>
      <c r="Q79" s="10">
        <v>10.427921968964437</v>
      </c>
      <c r="AY79" s="100"/>
      <c r="AZ79" s="9" t="s">
        <v>25</v>
      </c>
      <c r="BA79" s="9">
        <v>0.18832343614731456</v>
      </c>
    </row>
    <row r="80" spans="9:60" x14ac:dyDescent="0.3">
      <c r="AY80" s="100"/>
      <c r="AZ80" s="9" t="s">
        <v>26</v>
      </c>
      <c r="BA80" s="9">
        <v>3.5465716602331665E-2</v>
      </c>
    </row>
    <row r="81" spans="9:60" x14ac:dyDescent="0.3">
      <c r="AY81" s="100"/>
      <c r="AZ81" s="9" t="s">
        <v>27</v>
      </c>
      <c r="BA81" s="9">
        <v>-3.8729228274412053E-2</v>
      </c>
    </row>
    <row r="82" spans="9:60" x14ac:dyDescent="0.3">
      <c r="AY82" s="100"/>
      <c r="AZ82" s="9" t="s">
        <v>28</v>
      </c>
      <c r="BA82" s="9">
        <v>6.4470348343860853E-2</v>
      </c>
    </row>
    <row r="83" spans="9:60" ht="15" thickBot="1" x14ac:dyDescent="0.35">
      <c r="I83" t="s">
        <v>47</v>
      </c>
      <c r="AY83" s="100"/>
      <c r="AZ83" s="10" t="s">
        <v>29</v>
      </c>
      <c r="BA83" s="10">
        <v>15</v>
      </c>
    </row>
    <row r="84" spans="9:60" ht="15" thickBot="1" x14ac:dyDescent="0.35">
      <c r="AY84" s="100"/>
    </row>
    <row r="85" spans="9:60" ht="15" thickBot="1" x14ac:dyDescent="0.35">
      <c r="I85" s="11" t="s">
        <v>48</v>
      </c>
      <c r="J85" s="11" t="s">
        <v>250</v>
      </c>
      <c r="K85" s="11" t="s">
        <v>49</v>
      </c>
      <c r="AY85" s="100"/>
      <c r="AZ85" t="s">
        <v>30</v>
      </c>
    </row>
    <row r="86" spans="9:60" x14ac:dyDescent="0.3">
      <c r="I86" s="9">
        <v>1</v>
      </c>
      <c r="J86" s="9">
        <v>5.1819784949699965</v>
      </c>
      <c r="K86" s="9">
        <v>-9.982906599974406E-2</v>
      </c>
      <c r="AY86" s="100"/>
      <c r="AZ86" s="11"/>
      <c r="BA86" s="11" t="s">
        <v>35</v>
      </c>
      <c r="BB86" s="11" t="s">
        <v>36</v>
      </c>
      <c r="BC86" s="11" t="s">
        <v>37</v>
      </c>
      <c r="BD86" s="11" t="s">
        <v>38</v>
      </c>
      <c r="BE86" s="11" t="s">
        <v>39</v>
      </c>
    </row>
    <row r="87" spans="9:60" x14ac:dyDescent="0.3">
      <c r="I87" s="9">
        <v>2</v>
      </c>
      <c r="J87" s="9">
        <v>5.1819784949699965</v>
      </c>
      <c r="K87" s="9">
        <v>-3.1205684592876537E-3</v>
      </c>
      <c r="AY87" s="100"/>
      <c r="AZ87" s="9" t="s">
        <v>31</v>
      </c>
      <c r="BA87" s="9">
        <v>1</v>
      </c>
      <c r="BB87" s="9">
        <v>1.9868013959551747E-3</v>
      </c>
      <c r="BC87" s="9">
        <v>1.9868013959551747E-3</v>
      </c>
      <c r="BD87" s="9">
        <v>0.47800718312075108</v>
      </c>
      <c r="BE87" s="9">
        <v>0.5014871950186629</v>
      </c>
    </row>
    <row r="88" spans="9:60" x14ac:dyDescent="0.3">
      <c r="I88" s="9">
        <v>3</v>
      </c>
      <c r="J88" s="9">
        <v>5.1819784949699965</v>
      </c>
      <c r="K88" s="9">
        <v>0.10294963445902372</v>
      </c>
      <c r="AY88" s="100"/>
      <c r="AZ88" s="9" t="s">
        <v>32</v>
      </c>
      <c r="BA88" s="9">
        <v>13</v>
      </c>
      <c r="BB88" s="9">
        <v>5.4033535602523913E-2</v>
      </c>
      <c r="BC88" s="9">
        <v>4.1564258155787626E-3</v>
      </c>
      <c r="BD88" s="9"/>
      <c r="BE88" s="9"/>
    </row>
    <row r="89" spans="9:60" ht="15" thickBot="1" x14ac:dyDescent="0.35">
      <c r="I89" s="9">
        <v>4</v>
      </c>
      <c r="J89" s="9">
        <v>5.3640303262221956</v>
      </c>
      <c r="K89" s="9">
        <v>-4.9445987210287257E-2</v>
      </c>
      <c r="AY89" s="100"/>
      <c r="AZ89" s="10" t="s">
        <v>33</v>
      </c>
      <c r="BA89" s="10">
        <v>14</v>
      </c>
      <c r="BB89" s="10">
        <v>5.6020336998479088E-2</v>
      </c>
      <c r="BC89" s="10"/>
      <c r="BD89" s="10"/>
      <c r="BE89" s="10"/>
    </row>
    <row r="90" spans="9:60" ht="15" thickBot="1" x14ac:dyDescent="0.35">
      <c r="I90" s="9">
        <v>5</v>
      </c>
      <c r="J90" s="9">
        <v>5.3640303262221956</v>
      </c>
      <c r="K90" s="9">
        <v>-3.0152784275608191E-2</v>
      </c>
      <c r="AY90" s="100"/>
    </row>
    <row r="91" spans="9:60" ht="15" thickBot="1" x14ac:dyDescent="0.35">
      <c r="I91" s="10">
        <v>6</v>
      </c>
      <c r="J91" s="10">
        <v>5.3640303262221956</v>
      </c>
      <c r="K91" s="10">
        <v>7.9598771485895448E-2</v>
      </c>
      <c r="AY91" s="100"/>
      <c r="AZ91" s="11"/>
      <c r="BA91" s="11" t="s">
        <v>40</v>
      </c>
      <c r="BB91" s="11" t="s">
        <v>28</v>
      </c>
      <c r="BC91" s="11" t="s">
        <v>41</v>
      </c>
      <c r="BD91" s="11" t="s">
        <v>42</v>
      </c>
      <c r="BE91" s="11" t="s">
        <v>43</v>
      </c>
      <c r="BF91" s="11" t="s">
        <v>44</v>
      </c>
      <c r="BG91" s="11" t="s">
        <v>45</v>
      </c>
      <c r="BH91" s="11" t="s">
        <v>46</v>
      </c>
    </row>
    <row r="92" spans="9:60" x14ac:dyDescent="0.3">
      <c r="AY92" s="100"/>
      <c r="AZ92" s="9" t="s">
        <v>34</v>
      </c>
      <c r="BA92" s="9">
        <v>-0.3181581326959938</v>
      </c>
      <c r="BB92" s="9">
        <v>0.54294111014758706</v>
      </c>
      <c r="BC92" s="9">
        <v>-0.58599013180178827</v>
      </c>
      <c r="BD92" s="9">
        <v>0.56791715681894794</v>
      </c>
      <c r="BE92" s="9">
        <v>-1.4911110893639536</v>
      </c>
      <c r="BF92" s="9">
        <v>0.85479482397196593</v>
      </c>
      <c r="BG92" s="9">
        <v>-1.4911110893639536</v>
      </c>
      <c r="BH92" s="9">
        <v>0.85479482397196593</v>
      </c>
    </row>
    <row r="93" spans="9:60" ht="15" thickBot="1" x14ac:dyDescent="0.35">
      <c r="AY93" s="100"/>
      <c r="AZ93" s="10" t="s">
        <v>296</v>
      </c>
      <c r="BA93" s="10">
        <v>0.21208405697437124</v>
      </c>
      <c r="BB93" s="10">
        <v>0.30675440718156305</v>
      </c>
      <c r="BC93" s="10">
        <v>0.69138063548290629</v>
      </c>
      <c r="BD93" s="10">
        <v>0.50148719501866446</v>
      </c>
      <c r="BE93" s="10">
        <v>-0.45061854953250258</v>
      </c>
      <c r="BF93" s="10">
        <v>0.87478666348124512</v>
      </c>
      <c r="BG93" s="10">
        <v>-0.45061854953250258</v>
      </c>
      <c r="BH93" s="10">
        <v>0.87478666348124512</v>
      </c>
    </row>
    <row r="94" spans="9:60" x14ac:dyDescent="0.3">
      <c r="AY94" s="100"/>
    </row>
    <row r="95" spans="9:60" ht="16.2" x14ac:dyDescent="0.3">
      <c r="I95" t="s">
        <v>259</v>
      </c>
      <c r="J95" t="s">
        <v>260</v>
      </c>
      <c r="K95" t="s">
        <v>258</v>
      </c>
      <c r="L95" t="s">
        <v>257</v>
      </c>
      <c r="M95" t="s">
        <v>15</v>
      </c>
    </row>
    <row r="96" spans="9:60" ht="21" customHeight="1" x14ac:dyDescent="0.3">
      <c r="I96">
        <f>MAX(K74,K41)</f>
        <v>3.0264268073972009E-2</v>
      </c>
      <c r="J96">
        <f>MIN(K74,K41)</f>
        <v>2.7967429440343243E-2</v>
      </c>
      <c r="K96">
        <f>I96/J96</f>
        <v>1.0821254823768522</v>
      </c>
      <c r="L96">
        <f>_xlfn.F.INV.RT(0.05, J74, J74)</f>
        <v>6.38823290869587</v>
      </c>
      <c r="M96" t="s">
        <v>261</v>
      </c>
    </row>
    <row r="97" spans="52:60" ht="16.8" thickBot="1" x14ac:dyDescent="0.35">
      <c r="AZ97" s="190" t="s">
        <v>297</v>
      </c>
      <c r="BA97" s="190"/>
      <c r="BB97" s="190"/>
      <c r="BC97" s="190"/>
      <c r="BD97" s="190"/>
      <c r="BE97" s="190"/>
      <c r="BF97" s="190"/>
      <c r="BG97" s="190"/>
      <c r="BH97" s="190"/>
    </row>
    <row r="99" spans="52:60" x14ac:dyDescent="0.3">
      <c r="AZ99" t="s">
        <v>23</v>
      </c>
    </row>
    <row r="100" spans="52:60" ht="15" thickBot="1" x14ac:dyDescent="0.35"/>
    <row r="101" spans="52:60" x14ac:dyDescent="0.3">
      <c r="AZ101" s="12" t="s">
        <v>24</v>
      </c>
      <c r="BA101" s="12"/>
    </row>
    <row r="102" spans="52:60" x14ac:dyDescent="0.3">
      <c r="AZ102" s="9" t="s">
        <v>25</v>
      </c>
      <c r="BA102" s="9">
        <v>0.18812583768780161</v>
      </c>
    </row>
    <row r="103" spans="52:60" x14ac:dyDescent="0.3">
      <c r="AZ103" s="9" t="s">
        <v>26</v>
      </c>
      <c r="BA103" s="9">
        <v>3.5391330805737073E-2</v>
      </c>
    </row>
    <row r="104" spans="52:60" x14ac:dyDescent="0.3">
      <c r="AZ104" s="9" t="s">
        <v>27</v>
      </c>
      <c r="BA104" s="9">
        <v>-3.8809336055360077E-2</v>
      </c>
    </row>
    <row r="105" spans="52:60" x14ac:dyDescent="0.3">
      <c r="AZ105" s="9" t="s">
        <v>28</v>
      </c>
      <c r="BA105" s="9">
        <v>6.4472834303065524E-2</v>
      </c>
    </row>
    <row r="106" spans="52:60" ht="15" thickBot="1" x14ac:dyDescent="0.35">
      <c r="AZ106" s="10" t="s">
        <v>29</v>
      </c>
      <c r="BA106" s="10">
        <v>15</v>
      </c>
    </row>
    <row r="108" spans="52:60" ht="15" thickBot="1" x14ac:dyDescent="0.35">
      <c r="AZ108" t="s">
        <v>30</v>
      </c>
    </row>
    <row r="109" spans="52:60" x14ac:dyDescent="0.3">
      <c r="AZ109" s="11"/>
      <c r="BA109" s="11" t="s">
        <v>35</v>
      </c>
      <c r="BB109" s="11" t="s">
        <v>36</v>
      </c>
      <c r="BC109" s="11" t="s">
        <v>37</v>
      </c>
      <c r="BD109" s="11" t="s">
        <v>38</v>
      </c>
      <c r="BE109" s="11" t="s">
        <v>39</v>
      </c>
    </row>
    <row r="110" spans="52:60" x14ac:dyDescent="0.3">
      <c r="AZ110" s="9" t="s">
        <v>31</v>
      </c>
      <c r="BA110" s="9">
        <v>1</v>
      </c>
      <c r="BB110" s="9">
        <v>1.9826342785620454E-3</v>
      </c>
      <c r="BC110" s="9">
        <v>1.9826342785620454E-3</v>
      </c>
      <c r="BD110" s="9">
        <v>0.47696782660982373</v>
      </c>
      <c r="BE110" s="9">
        <v>0.50194448423066995</v>
      </c>
    </row>
    <row r="111" spans="52:60" x14ac:dyDescent="0.3">
      <c r="AZ111" s="9" t="s">
        <v>32</v>
      </c>
      <c r="BA111" s="9">
        <v>13</v>
      </c>
      <c r="BB111" s="9">
        <v>5.4037702719917043E-2</v>
      </c>
      <c r="BC111" s="9">
        <v>4.1567463630705417E-3</v>
      </c>
      <c r="BD111" s="9"/>
      <c r="BE111" s="9"/>
    </row>
    <row r="112" spans="52:60" ht="15" thickBot="1" x14ac:dyDescent="0.35">
      <c r="AZ112" s="10" t="s">
        <v>33</v>
      </c>
      <c r="BA112" s="10">
        <v>14</v>
      </c>
      <c r="BB112" s="10">
        <v>5.6020336998479088E-2</v>
      </c>
      <c r="BC112" s="10"/>
      <c r="BD112" s="10"/>
      <c r="BE112" s="10"/>
    </row>
    <row r="113" spans="52:60" ht="15" thickBot="1" x14ac:dyDescent="0.35"/>
    <row r="114" spans="52:60" x14ac:dyDescent="0.3">
      <c r="AZ114" s="11"/>
      <c r="BA114" s="11" t="s">
        <v>40</v>
      </c>
      <c r="BB114" s="11" t="s">
        <v>28</v>
      </c>
      <c r="BC114" s="11" t="s">
        <v>41</v>
      </c>
      <c r="BD114" s="11" t="s">
        <v>42</v>
      </c>
      <c r="BE114" s="11" t="s">
        <v>43</v>
      </c>
      <c r="BF114" s="11" t="s">
        <v>44</v>
      </c>
      <c r="BG114" s="11" t="s">
        <v>45</v>
      </c>
      <c r="BH114" s="11" t="s">
        <v>46</v>
      </c>
    </row>
    <row r="115" spans="52:60" x14ac:dyDescent="0.3">
      <c r="AZ115" s="9" t="s">
        <v>34</v>
      </c>
      <c r="BA115" s="9">
        <v>-0.13276869375843831</v>
      </c>
      <c r="BB115" s="9">
        <v>0.27534470009995682</v>
      </c>
      <c r="BC115" s="9">
        <v>-0.48219084554828928</v>
      </c>
      <c r="BD115" s="9">
        <v>0.63768746880532567</v>
      </c>
      <c r="BE115" s="9">
        <v>-0.72761475357753258</v>
      </c>
      <c r="BF115" s="9">
        <v>0.46207736606065603</v>
      </c>
      <c r="BG115" s="9">
        <v>-0.72761475357753258</v>
      </c>
      <c r="BH115" s="9">
        <v>0.46207736606065603</v>
      </c>
    </row>
    <row r="116" spans="52:60" ht="15" thickBot="1" x14ac:dyDescent="0.35">
      <c r="AZ116" s="10" t="s">
        <v>298</v>
      </c>
      <c r="BA116" s="10">
        <v>6.0590183308940643E-2</v>
      </c>
      <c r="BB116" s="10">
        <v>8.7731938163380485E-2</v>
      </c>
      <c r="BC116" s="10">
        <v>0.69062857355442675</v>
      </c>
      <c r="BD116" s="10">
        <v>0.50194448423067073</v>
      </c>
      <c r="BE116" s="10">
        <v>-0.12894314606995846</v>
      </c>
      <c r="BF116" s="10">
        <v>0.25012351268783972</v>
      </c>
      <c r="BG116" s="10">
        <v>-0.12894314606995846</v>
      </c>
      <c r="BH116" s="10">
        <v>0.25012351268783972</v>
      </c>
    </row>
    <row r="119" spans="52:60" x14ac:dyDescent="0.3">
      <c r="AZ119" t="s">
        <v>299</v>
      </c>
    </row>
  </sheetData>
  <sortState xmlns:xlrd2="http://schemas.microsoft.com/office/spreadsheetml/2017/richdata2" ref="Z7:Z8">
    <sortCondition descending="1" ref="Z7"/>
  </sortState>
  <mergeCells count="14">
    <mergeCell ref="B37:G37"/>
    <mergeCell ref="AZ7:BG7"/>
    <mergeCell ref="AZ74:BH74"/>
    <mergeCell ref="AZ28:BG28"/>
    <mergeCell ref="AZ97:BH97"/>
    <mergeCell ref="AZ50:BG50"/>
    <mergeCell ref="S7:X7"/>
    <mergeCell ref="AC7:AK7"/>
    <mergeCell ref="AP7:AU7"/>
    <mergeCell ref="I28:N28"/>
    <mergeCell ref="I61:N61"/>
    <mergeCell ref="I7:N7"/>
    <mergeCell ref="B7:G7"/>
    <mergeCell ref="B32:G32"/>
  </mergeCells>
  <pageMargins left="0.7" right="0.7" top="0.75" bottom="0.75" header="0.3" footer="0.3"/>
  <ignoredErrors>
    <ignoredError sqref="AJ9:AJ23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BC9B8-85B5-408B-8D42-D2DA95702369}">
  <sheetPr>
    <tabColor theme="2" tint="-9.9978637043366805E-2"/>
  </sheetPr>
  <dimension ref="A1:F25"/>
  <sheetViews>
    <sheetView topLeftCell="A4" zoomScale="97" workbookViewId="0">
      <selection activeCell="E25" sqref="E25"/>
    </sheetView>
  </sheetViews>
  <sheetFormatPr defaultRowHeight="14.4" x14ac:dyDescent="0.3"/>
  <cols>
    <col min="1" max="1" width="16.77734375" bestFit="1" customWidth="1"/>
    <col min="3" max="3" width="18.5546875" customWidth="1"/>
  </cols>
  <sheetData>
    <row r="1" spans="1:4" x14ac:dyDescent="0.3">
      <c r="A1" s="43" t="s">
        <v>318</v>
      </c>
    </row>
    <row r="3" spans="1:4" ht="15" thickBot="1" x14ac:dyDescent="0.35">
      <c r="A3" s="193" t="s">
        <v>320</v>
      </c>
      <c r="B3" s="193"/>
      <c r="C3" s="193"/>
    </row>
    <row r="4" spans="1:4" x14ac:dyDescent="0.3">
      <c r="A4" t="s">
        <v>329</v>
      </c>
      <c r="B4" t="s">
        <v>319</v>
      </c>
      <c r="C4" t="s">
        <v>15</v>
      </c>
    </row>
    <row r="5" spans="1:4" x14ac:dyDescent="0.3">
      <c r="A5" t="s">
        <v>321</v>
      </c>
      <c r="B5">
        <v>0.9</v>
      </c>
      <c r="C5" t="s">
        <v>325</v>
      </c>
    </row>
    <row r="6" spans="1:4" x14ac:dyDescent="0.3">
      <c r="A6" t="s">
        <v>322</v>
      </c>
      <c r="B6">
        <v>0.84</v>
      </c>
      <c r="C6" t="s">
        <v>335</v>
      </c>
    </row>
    <row r="8" spans="1:4" ht="15" thickBot="1" x14ac:dyDescent="0.35">
      <c r="A8" s="193" t="s">
        <v>323</v>
      </c>
      <c r="B8" s="193"/>
      <c r="C8" s="193"/>
    </row>
    <row r="9" spans="1:4" x14ac:dyDescent="0.3">
      <c r="A9" t="s">
        <v>329</v>
      </c>
      <c r="B9" t="s">
        <v>324</v>
      </c>
      <c r="C9" t="s">
        <v>15</v>
      </c>
    </row>
    <row r="10" spans="1:4" x14ac:dyDescent="0.3">
      <c r="A10" t="s">
        <v>337</v>
      </c>
      <c r="B10">
        <v>0.92</v>
      </c>
      <c r="C10" t="s">
        <v>327</v>
      </c>
    </row>
    <row r="11" spans="1:4" x14ac:dyDescent="0.3">
      <c r="A11" t="s">
        <v>338</v>
      </c>
      <c r="B11">
        <v>0.95</v>
      </c>
      <c r="C11" t="s">
        <v>326</v>
      </c>
    </row>
    <row r="13" spans="1:4" x14ac:dyDescent="0.3">
      <c r="A13" t="s">
        <v>323</v>
      </c>
      <c r="B13" t="s">
        <v>330</v>
      </c>
      <c r="C13" t="s">
        <v>328</v>
      </c>
      <c r="D13" t="s">
        <v>15</v>
      </c>
    </row>
    <row r="14" spans="1:4" x14ac:dyDescent="0.3">
      <c r="A14" s="194" t="s">
        <v>337</v>
      </c>
      <c r="B14" t="s">
        <v>208</v>
      </c>
      <c r="C14">
        <f>(B10-B5)/(1-B5)</f>
        <v>0.20000000000000023</v>
      </c>
      <c r="D14" t="s">
        <v>331</v>
      </c>
    </row>
    <row r="15" spans="1:4" x14ac:dyDescent="0.3">
      <c r="A15" s="194"/>
      <c r="B15" t="s">
        <v>209</v>
      </c>
      <c r="C15">
        <f>(B10-B6)/(1-B6)</f>
        <v>0.50000000000000033</v>
      </c>
      <c r="D15" t="s">
        <v>332</v>
      </c>
    </row>
    <row r="16" spans="1:4" x14ac:dyDescent="0.3">
      <c r="A16" s="194" t="s">
        <v>338</v>
      </c>
      <c r="B16" t="s">
        <v>208</v>
      </c>
      <c r="C16">
        <f>(B11-B5)/(1-B5)</f>
        <v>0.49999999999999944</v>
      </c>
      <c r="D16" t="s">
        <v>333</v>
      </c>
    </row>
    <row r="17" spans="1:6" x14ac:dyDescent="0.3">
      <c r="A17" s="194"/>
      <c r="B17" t="s">
        <v>209</v>
      </c>
      <c r="C17">
        <f>(B11-B6)/(1-B6)</f>
        <v>0.68749999999999978</v>
      </c>
      <c r="D17" t="s">
        <v>334</v>
      </c>
    </row>
    <row r="20" spans="1:6" x14ac:dyDescent="0.3">
      <c r="A20" s="43" t="s">
        <v>336</v>
      </c>
    </row>
    <row r="21" spans="1:6" ht="15.6" x14ac:dyDescent="0.35">
      <c r="A21" t="s">
        <v>31</v>
      </c>
      <c r="B21" t="s">
        <v>324</v>
      </c>
      <c r="C21" t="s">
        <v>340</v>
      </c>
      <c r="D21" t="s">
        <v>339</v>
      </c>
      <c r="E21" t="s">
        <v>258</v>
      </c>
      <c r="F21" t="s">
        <v>257</v>
      </c>
    </row>
    <row r="22" spans="1:6" x14ac:dyDescent="0.3">
      <c r="A22" t="s">
        <v>321</v>
      </c>
      <c r="B22">
        <f>B5</f>
        <v>0.9</v>
      </c>
      <c r="C22">
        <f>SQRT(B22)</f>
        <v>0.94868329805051377</v>
      </c>
      <c r="D22">
        <f>1 - (1-B22) * (19-1)/(19-1-1)</f>
        <v>0.89411764705882357</v>
      </c>
      <c r="E22">
        <f xml:space="preserve"> B22/(1-B22)*(19-1-1)/(1)</f>
        <v>153.00000000000003</v>
      </c>
      <c r="F22">
        <f>_xlfn.F.INV.RT(0.05, 1, 19-1-1)</f>
        <v>4.4513217724681331</v>
      </c>
    </row>
    <row r="23" spans="1:6" x14ac:dyDescent="0.3">
      <c r="A23" t="s">
        <v>322</v>
      </c>
      <c r="B23">
        <f>B6</f>
        <v>0.84</v>
      </c>
      <c r="C23">
        <f t="shared" ref="C23:C25" si="0">SQRT(B23)</f>
        <v>0.91651513899116799</v>
      </c>
      <c r="D23">
        <f>1 - (1-B23) * (19-1)/(19-1-1)</f>
        <v>0.83058823529411763</v>
      </c>
      <c r="E23">
        <f xml:space="preserve"> B23/(1-B23)*(19-1-1)/(1)</f>
        <v>89.249999999999986</v>
      </c>
      <c r="F23">
        <f>_xlfn.F.INV.RT(0.05, 1, 19-1-1)</f>
        <v>4.4513217724681331</v>
      </c>
    </row>
    <row r="24" spans="1:6" x14ac:dyDescent="0.3">
      <c r="A24" t="s">
        <v>337</v>
      </c>
      <c r="B24">
        <f>B10</f>
        <v>0.92</v>
      </c>
      <c r="C24">
        <f t="shared" si="0"/>
        <v>0.95916630466254393</v>
      </c>
      <c r="D24">
        <f>1 - (1-B24) * (19-1)/(19-2-1)</f>
        <v>0.91</v>
      </c>
      <c r="E24">
        <f xml:space="preserve"> B24/(1-B24)*(19-2-1)/(2)</f>
        <v>92.000000000000057</v>
      </c>
      <c r="F24">
        <f>_xlfn.F.INV.RT(0.05, 2, 19-2-1)</f>
        <v>3.6337234675916301</v>
      </c>
    </row>
    <row r="25" spans="1:6" x14ac:dyDescent="0.3">
      <c r="A25" s="102" t="s">
        <v>338</v>
      </c>
      <c r="B25" s="102">
        <f>B11</f>
        <v>0.95</v>
      </c>
      <c r="C25" s="102">
        <f t="shared" si="0"/>
        <v>0.97467943448089633</v>
      </c>
      <c r="D25" s="102">
        <f>1 - (1-B25) * (19-1)/(19-2-1)</f>
        <v>0.94374999999999998</v>
      </c>
      <c r="E25" s="102">
        <f xml:space="preserve"> B25/(1-B25)*(19-2-1)/(2)</f>
        <v>151.99999999999986</v>
      </c>
      <c r="F25" s="102">
        <f>_xlfn.F.INV.RT(0.05, 2, 19-2-1)</f>
        <v>3.6337234675916301</v>
      </c>
    </row>
  </sheetData>
  <mergeCells count="4">
    <mergeCell ref="A8:C8"/>
    <mergeCell ref="A3:C3"/>
    <mergeCell ref="A14:A15"/>
    <mergeCell ref="A16:A17"/>
  </mergeCells>
  <phoneticPr fontId="15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90B43-C83C-4C0A-9707-34217093B40C}">
  <sheetPr>
    <tabColor theme="2" tint="-9.9978637043366805E-2"/>
  </sheetPr>
  <dimension ref="B2:AX95"/>
  <sheetViews>
    <sheetView topLeftCell="O1" zoomScale="93" workbookViewId="0">
      <selection activeCell="AP96" sqref="AP96"/>
    </sheetView>
  </sheetViews>
  <sheetFormatPr defaultRowHeight="14.4" x14ac:dyDescent="0.3"/>
  <cols>
    <col min="1" max="1" width="9.109375" bestFit="1" customWidth="1"/>
    <col min="2" max="2" width="13.44140625" customWidth="1"/>
    <col min="3" max="3" width="16.21875" customWidth="1"/>
    <col min="7" max="7" width="22.88671875" customWidth="1"/>
    <col min="8" max="8" width="21.88671875" customWidth="1"/>
    <col min="11" max="11" width="16.109375" customWidth="1"/>
    <col min="14" max="14" width="22.88671875" customWidth="1"/>
    <col min="15" max="15" width="21.88671875" customWidth="1"/>
    <col min="17" max="17" width="15.5546875" customWidth="1"/>
    <col min="20" max="20" width="22.88671875" customWidth="1"/>
    <col min="21" max="21" width="21.88671875" customWidth="1"/>
    <col min="23" max="23" width="15.5546875" customWidth="1"/>
    <col min="27" max="27" width="14.33203125" bestFit="1" customWidth="1"/>
    <col min="28" max="28" width="14.44140625" bestFit="1" customWidth="1"/>
    <col min="31" max="31" width="21.21875" customWidth="1"/>
    <col min="32" max="32" width="19.109375" customWidth="1"/>
  </cols>
  <sheetData>
    <row r="2" spans="2:46" ht="23.4" customHeight="1" x14ac:dyDescent="0.3">
      <c r="B2" s="101" t="s">
        <v>341</v>
      </c>
      <c r="C2" s="101" t="s">
        <v>342</v>
      </c>
      <c r="G2" s="186" t="s">
        <v>343</v>
      </c>
      <c r="H2" s="186"/>
      <c r="N2" s="186" t="s">
        <v>262</v>
      </c>
      <c r="O2" s="186"/>
      <c r="P2" s="186"/>
      <c r="Q2" s="186"/>
      <c r="T2" s="186" t="s">
        <v>359</v>
      </c>
      <c r="U2" s="186"/>
      <c r="V2" s="186"/>
      <c r="W2" s="107"/>
      <c r="AE2" s="186" t="s">
        <v>362</v>
      </c>
      <c r="AF2" s="186"/>
      <c r="AP2" t="s">
        <v>365</v>
      </c>
    </row>
    <row r="3" spans="2:46" x14ac:dyDescent="0.3">
      <c r="B3">
        <v>1</v>
      </c>
      <c r="C3">
        <v>3</v>
      </c>
      <c r="G3" t="s">
        <v>341</v>
      </c>
      <c r="H3" t="s">
        <v>344</v>
      </c>
      <c r="N3" t="s">
        <v>348</v>
      </c>
      <c r="O3" t="s">
        <v>350</v>
      </c>
      <c r="P3" t="s">
        <v>349</v>
      </c>
      <c r="Q3" t="s">
        <v>266</v>
      </c>
      <c r="T3" s="2" t="s">
        <v>354</v>
      </c>
      <c r="U3" s="2" t="s">
        <v>355</v>
      </c>
      <c r="V3" s="2" t="s">
        <v>356</v>
      </c>
      <c r="W3" s="100"/>
      <c r="AE3" s="2" t="s">
        <v>360</v>
      </c>
      <c r="AF3" s="2" t="s">
        <v>361</v>
      </c>
      <c r="AP3" t="s">
        <v>350</v>
      </c>
      <c r="AQ3" t="s">
        <v>366</v>
      </c>
      <c r="AR3" t="s">
        <v>367</v>
      </c>
      <c r="AS3" t="s">
        <v>368</v>
      </c>
      <c r="AT3" t="s">
        <v>369</v>
      </c>
    </row>
    <row r="4" spans="2:46" x14ac:dyDescent="0.3">
      <c r="B4">
        <v>2</v>
      </c>
      <c r="C4">
        <v>5</v>
      </c>
      <c r="G4" s="103">
        <f t="shared" ref="G4:H10" si="0">B3</f>
        <v>1</v>
      </c>
      <c r="H4" s="103">
        <f t="shared" si="0"/>
        <v>3</v>
      </c>
      <c r="N4" s="100">
        <f>_xlfn.RANK.AVG(B3,$B$3:$B$9,1)</f>
        <v>1</v>
      </c>
      <c r="O4">
        <f>ABS(C3)</f>
        <v>3</v>
      </c>
      <c r="P4" s="100">
        <f>_xlfn.RANK.AVG(O4,$O$4:$O$10,1)</f>
        <v>4.5</v>
      </c>
      <c r="Q4">
        <f t="shared" ref="Q4:Q10" si="1">(P4-N4)^2</f>
        <v>12.25</v>
      </c>
      <c r="T4" s="100">
        <f>C3^2</f>
        <v>9</v>
      </c>
      <c r="U4" s="100">
        <f>B3</f>
        <v>1</v>
      </c>
      <c r="V4" s="100">
        <f>U4^2</f>
        <v>1</v>
      </c>
      <c r="W4" s="100"/>
      <c r="AE4" s="100">
        <f t="shared" ref="AE4:AE10" si="2">LN(T4)</f>
        <v>2.1972245773362196</v>
      </c>
      <c r="AF4" s="100">
        <f t="shared" ref="AF4:AF10" si="3">LN(B3)</f>
        <v>0</v>
      </c>
      <c r="AP4">
        <f t="shared" ref="AP4:AP10" si="4">ABS(C3)</f>
        <v>3</v>
      </c>
      <c r="AQ4">
        <f>$B3^(-1)</f>
        <v>1</v>
      </c>
      <c r="AR4">
        <f>$B3^(-0.5)</f>
        <v>1</v>
      </c>
      <c r="AS4">
        <f>$B3^(0.5)</f>
        <v>1</v>
      </c>
      <c r="AT4">
        <f>$B3^(1)</f>
        <v>1</v>
      </c>
    </row>
    <row r="5" spans="2:46" x14ac:dyDescent="0.3">
      <c r="B5">
        <v>3</v>
      </c>
      <c r="C5">
        <v>-2</v>
      </c>
      <c r="G5" s="103">
        <f t="shared" si="0"/>
        <v>2</v>
      </c>
      <c r="H5" s="103">
        <f t="shared" si="0"/>
        <v>5</v>
      </c>
      <c r="N5" s="100">
        <f t="shared" ref="N5:N9" si="5">_xlfn.RANK.AVG(B4,$B$3:$B$9,1)</f>
        <v>2</v>
      </c>
      <c r="O5">
        <f t="shared" ref="O5:O10" si="6">ABS(C4)</f>
        <v>5</v>
      </c>
      <c r="P5" s="100">
        <f t="shared" ref="P5:P10" si="7">_xlfn.RANK.AVG(O5,$O$4:$O$10,1)</f>
        <v>7</v>
      </c>
      <c r="Q5">
        <f t="shared" si="1"/>
        <v>25</v>
      </c>
      <c r="T5" s="100">
        <f t="shared" ref="T5:T10" si="8">C4^2</f>
        <v>25</v>
      </c>
      <c r="U5" s="100">
        <f t="shared" ref="U5:U10" si="9">B4</f>
        <v>2</v>
      </c>
      <c r="V5" s="100">
        <f t="shared" ref="V5:V10" si="10">U5^2</f>
        <v>4</v>
      </c>
      <c r="AE5" s="100">
        <f t="shared" si="2"/>
        <v>3.2188758248682006</v>
      </c>
      <c r="AF5" s="100">
        <f t="shared" si="3"/>
        <v>0.69314718055994529</v>
      </c>
      <c r="AP5">
        <f t="shared" si="4"/>
        <v>5</v>
      </c>
      <c r="AQ5">
        <f t="shared" ref="AQ5:AQ10" si="11">$B4^(-1)</f>
        <v>0.5</v>
      </c>
      <c r="AR5">
        <f t="shared" ref="AR5:AR10" si="12">$B4^(-0.5)</f>
        <v>0.70710678118654746</v>
      </c>
      <c r="AS5">
        <f t="shared" ref="AS5:AS10" si="13">$B4^(0.5)</f>
        <v>1.4142135623730951</v>
      </c>
      <c r="AT5">
        <f t="shared" ref="AT5:AT10" si="14">$B4^(1)</f>
        <v>2</v>
      </c>
    </row>
    <row r="6" spans="2:46" x14ac:dyDescent="0.3">
      <c r="B6">
        <v>4</v>
      </c>
      <c r="C6">
        <v>-4</v>
      </c>
      <c r="G6" s="103">
        <f t="shared" si="0"/>
        <v>3</v>
      </c>
      <c r="H6" s="103">
        <f t="shared" si="0"/>
        <v>-2</v>
      </c>
      <c r="N6" s="100">
        <f t="shared" si="5"/>
        <v>3</v>
      </c>
      <c r="O6">
        <f t="shared" si="6"/>
        <v>2</v>
      </c>
      <c r="P6" s="100">
        <f t="shared" si="7"/>
        <v>2.5</v>
      </c>
      <c r="Q6">
        <f t="shared" si="1"/>
        <v>0.25</v>
      </c>
      <c r="T6" s="100">
        <f t="shared" si="8"/>
        <v>4</v>
      </c>
      <c r="U6" s="100">
        <f t="shared" si="9"/>
        <v>3</v>
      </c>
      <c r="V6" s="100">
        <f t="shared" si="10"/>
        <v>9</v>
      </c>
      <c r="AE6" s="100">
        <f t="shared" si="2"/>
        <v>1.3862943611198906</v>
      </c>
      <c r="AF6" s="100">
        <f t="shared" si="3"/>
        <v>1.0986122886681098</v>
      </c>
      <c r="AP6">
        <f t="shared" si="4"/>
        <v>2</v>
      </c>
      <c r="AQ6">
        <f t="shared" si="11"/>
        <v>0.33333333333333331</v>
      </c>
      <c r="AR6">
        <f t="shared" si="12"/>
        <v>0.57735026918962584</v>
      </c>
      <c r="AS6">
        <f t="shared" si="13"/>
        <v>1.7320508075688772</v>
      </c>
      <c r="AT6">
        <f t="shared" si="14"/>
        <v>3</v>
      </c>
    </row>
    <row r="7" spans="2:46" x14ac:dyDescent="0.3">
      <c r="B7">
        <v>5</v>
      </c>
      <c r="C7">
        <v>2</v>
      </c>
      <c r="G7">
        <f t="shared" si="0"/>
        <v>4</v>
      </c>
      <c r="H7">
        <f t="shared" si="0"/>
        <v>-4</v>
      </c>
      <c r="N7" s="100">
        <f t="shared" si="5"/>
        <v>4</v>
      </c>
      <c r="O7">
        <f t="shared" si="6"/>
        <v>4</v>
      </c>
      <c r="P7" s="100">
        <f t="shared" si="7"/>
        <v>6</v>
      </c>
      <c r="Q7">
        <f t="shared" si="1"/>
        <v>4</v>
      </c>
      <c r="T7" s="100">
        <f t="shared" si="8"/>
        <v>16</v>
      </c>
      <c r="U7" s="100">
        <f t="shared" si="9"/>
        <v>4</v>
      </c>
      <c r="V7" s="100">
        <f t="shared" si="10"/>
        <v>16</v>
      </c>
      <c r="AE7" s="100">
        <f t="shared" si="2"/>
        <v>2.7725887222397811</v>
      </c>
      <c r="AF7" s="100">
        <f t="shared" si="3"/>
        <v>1.3862943611198906</v>
      </c>
      <c r="AP7">
        <f t="shared" si="4"/>
        <v>4</v>
      </c>
      <c r="AQ7">
        <f t="shared" si="11"/>
        <v>0.25</v>
      </c>
      <c r="AR7">
        <f t="shared" si="12"/>
        <v>0.5</v>
      </c>
      <c r="AS7">
        <f t="shared" si="13"/>
        <v>2</v>
      </c>
      <c r="AT7">
        <f t="shared" si="14"/>
        <v>4</v>
      </c>
    </row>
    <row r="8" spans="2:46" x14ac:dyDescent="0.3">
      <c r="B8">
        <v>6</v>
      </c>
      <c r="C8">
        <v>-1</v>
      </c>
      <c r="G8" s="104">
        <f t="shared" si="0"/>
        <v>5</v>
      </c>
      <c r="H8" s="104">
        <f t="shared" si="0"/>
        <v>2</v>
      </c>
      <c r="N8" s="100">
        <f t="shared" si="5"/>
        <v>5</v>
      </c>
      <c r="O8">
        <f t="shared" si="6"/>
        <v>2</v>
      </c>
      <c r="P8" s="100">
        <f t="shared" si="7"/>
        <v>2.5</v>
      </c>
      <c r="Q8">
        <f t="shared" si="1"/>
        <v>6.25</v>
      </c>
      <c r="T8" s="100">
        <f t="shared" si="8"/>
        <v>4</v>
      </c>
      <c r="U8" s="100">
        <f t="shared" si="9"/>
        <v>5</v>
      </c>
      <c r="V8" s="100">
        <f t="shared" si="10"/>
        <v>25</v>
      </c>
      <c r="AE8" s="100">
        <f t="shared" si="2"/>
        <v>1.3862943611198906</v>
      </c>
      <c r="AF8" s="100">
        <f t="shared" si="3"/>
        <v>1.6094379124341003</v>
      </c>
      <c r="AP8">
        <f t="shared" si="4"/>
        <v>2</v>
      </c>
      <c r="AQ8">
        <f t="shared" si="11"/>
        <v>0.2</v>
      </c>
      <c r="AR8">
        <f t="shared" si="12"/>
        <v>0.44721359549995793</v>
      </c>
      <c r="AS8">
        <f t="shared" si="13"/>
        <v>2.2360679774997898</v>
      </c>
      <c r="AT8">
        <f t="shared" si="14"/>
        <v>5</v>
      </c>
    </row>
    <row r="9" spans="2:46" x14ac:dyDescent="0.3">
      <c r="B9">
        <v>7</v>
      </c>
      <c r="C9">
        <v>-3</v>
      </c>
      <c r="G9" s="104">
        <f t="shared" si="0"/>
        <v>6</v>
      </c>
      <c r="H9" s="104">
        <f t="shared" si="0"/>
        <v>-1</v>
      </c>
      <c r="N9" s="100">
        <f t="shared" si="5"/>
        <v>6</v>
      </c>
      <c r="O9">
        <f t="shared" si="6"/>
        <v>1</v>
      </c>
      <c r="P9" s="100">
        <f t="shared" si="7"/>
        <v>1</v>
      </c>
      <c r="Q9">
        <f t="shared" si="1"/>
        <v>25</v>
      </c>
      <c r="T9" s="100">
        <f t="shared" si="8"/>
        <v>1</v>
      </c>
      <c r="U9" s="100">
        <f t="shared" si="9"/>
        <v>6</v>
      </c>
      <c r="V9" s="100">
        <f t="shared" si="10"/>
        <v>36</v>
      </c>
      <c r="AE9" s="100">
        <f t="shared" si="2"/>
        <v>0</v>
      </c>
      <c r="AF9" s="100">
        <f t="shared" si="3"/>
        <v>1.791759469228055</v>
      </c>
      <c r="AP9">
        <f t="shared" si="4"/>
        <v>1</v>
      </c>
      <c r="AQ9">
        <f t="shared" si="11"/>
        <v>0.16666666666666666</v>
      </c>
      <c r="AR9">
        <f t="shared" si="12"/>
        <v>0.40824829046386307</v>
      </c>
      <c r="AS9">
        <f t="shared" si="13"/>
        <v>2.4494897427831779</v>
      </c>
      <c r="AT9">
        <f t="shared" si="14"/>
        <v>6</v>
      </c>
    </row>
    <row r="10" spans="2:46" x14ac:dyDescent="0.3">
      <c r="G10" s="104">
        <f t="shared" si="0"/>
        <v>7</v>
      </c>
      <c r="H10" s="104">
        <f t="shared" si="0"/>
        <v>-3</v>
      </c>
      <c r="N10" s="100">
        <f>_xlfn.RANK.AVG(B9,$B$3:$B$9,1)</f>
        <v>7</v>
      </c>
      <c r="O10">
        <f t="shared" si="6"/>
        <v>3</v>
      </c>
      <c r="P10" s="100">
        <f t="shared" si="7"/>
        <v>4.5</v>
      </c>
      <c r="Q10">
        <f t="shared" si="1"/>
        <v>6.25</v>
      </c>
      <c r="T10" s="100">
        <f t="shared" si="8"/>
        <v>9</v>
      </c>
      <c r="U10" s="100">
        <f t="shared" si="9"/>
        <v>7</v>
      </c>
      <c r="V10" s="100">
        <f t="shared" si="10"/>
        <v>49</v>
      </c>
      <c r="AE10" s="100">
        <f t="shared" si="2"/>
        <v>2.1972245773362196</v>
      </c>
      <c r="AF10" s="100">
        <f t="shared" si="3"/>
        <v>1.9459101490553132</v>
      </c>
      <c r="AP10">
        <f t="shared" si="4"/>
        <v>3</v>
      </c>
      <c r="AQ10">
        <f t="shared" si="11"/>
        <v>0.14285714285714285</v>
      </c>
      <c r="AR10">
        <f t="shared" si="12"/>
        <v>0.3779644730092272</v>
      </c>
      <c r="AS10">
        <f t="shared" si="13"/>
        <v>2.6457513110645907</v>
      </c>
      <c r="AT10">
        <f t="shared" si="14"/>
        <v>7</v>
      </c>
    </row>
    <row r="12" spans="2:46" x14ac:dyDescent="0.3">
      <c r="P12" s="88"/>
      <c r="AP12" t="s">
        <v>370</v>
      </c>
    </row>
    <row r="13" spans="2:46" ht="25.2" customHeight="1" x14ac:dyDescent="0.3">
      <c r="G13" s="105" t="s">
        <v>345</v>
      </c>
      <c r="H13" s="105" t="s">
        <v>346</v>
      </c>
      <c r="I13" s="105" t="s">
        <v>196</v>
      </c>
      <c r="J13" s="105" t="s">
        <v>197</v>
      </c>
      <c r="K13" s="105" t="s">
        <v>15</v>
      </c>
      <c r="N13" s="105" t="s">
        <v>267</v>
      </c>
      <c r="O13" s="105" t="s">
        <v>353</v>
      </c>
      <c r="P13" s="106" t="s">
        <v>351</v>
      </c>
      <c r="Q13" s="106" t="s">
        <v>15</v>
      </c>
      <c r="T13" t="s">
        <v>23</v>
      </c>
      <c r="AE13" t="s">
        <v>23</v>
      </c>
      <c r="AP13" t="s">
        <v>23</v>
      </c>
    </row>
    <row r="14" spans="2:46" ht="15" thickBot="1" x14ac:dyDescent="0.35">
      <c r="G14">
        <f>SUMSQ(H4:H6)</f>
        <v>38</v>
      </c>
      <c r="H14">
        <f>SUMSQ(H8:H10)</f>
        <v>14</v>
      </c>
      <c r="I14">
        <f>G14/H14</f>
        <v>2.7142857142857144</v>
      </c>
      <c r="J14">
        <f>_xlfn.F.INV.RT(0.05, 1, 1)</f>
        <v>161.44763879758855</v>
      </c>
      <c r="K14" t="s">
        <v>347</v>
      </c>
      <c r="L14" t="s">
        <v>18</v>
      </c>
      <c r="N14">
        <f>1 - 6 * SUM(Q4:Q10) / (7 * (7^2-1))</f>
        <v>-0.41071428571428581</v>
      </c>
      <c r="O14">
        <f>ABS(N14*SQRT(7-2) / SQRT(1 - N14^2))</f>
        <v>1.0072617044037862</v>
      </c>
      <c r="P14">
        <f>_xlfn.T.INV.2T(0.05,7-2)</f>
        <v>2.570581835636315</v>
      </c>
      <c r="Q14" t="s">
        <v>352</v>
      </c>
      <c r="R14" t="s">
        <v>18</v>
      </c>
    </row>
    <row r="15" spans="2:46" x14ac:dyDescent="0.3">
      <c r="T15" s="12" t="s">
        <v>24</v>
      </c>
      <c r="U15" s="12"/>
      <c r="AE15" s="12" t="s">
        <v>24</v>
      </c>
      <c r="AF15" s="12"/>
      <c r="AP15" s="12" t="s">
        <v>24</v>
      </c>
      <c r="AQ15" s="12"/>
    </row>
    <row r="16" spans="2:46" x14ac:dyDescent="0.3">
      <c r="T16" s="9" t="s">
        <v>25</v>
      </c>
      <c r="U16" s="9">
        <v>0.44518412389976136</v>
      </c>
      <c r="AE16" s="9" t="s">
        <v>25</v>
      </c>
      <c r="AF16" s="9">
        <v>0.4387454650206209</v>
      </c>
      <c r="AP16" s="9" t="s">
        <v>25</v>
      </c>
      <c r="AQ16" s="9">
        <v>0.30806227248896739</v>
      </c>
    </row>
    <row r="17" spans="20:50" x14ac:dyDescent="0.3">
      <c r="T17" s="9" t="s">
        <v>26</v>
      </c>
      <c r="U17" s="9">
        <v>0.19818890417239807</v>
      </c>
      <c r="AE17" s="9" t="s">
        <v>26</v>
      </c>
      <c r="AF17" s="9">
        <v>0.19249758307616088</v>
      </c>
      <c r="AP17" s="9" t="s">
        <v>26</v>
      </c>
      <c r="AQ17" s="9">
        <v>9.4902363731066808E-2</v>
      </c>
    </row>
    <row r="18" spans="20:50" x14ac:dyDescent="0.3">
      <c r="T18" s="9" t="s">
        <v>27</v>
      </c>
      <c r="U18" s="9">
        <v>-0.20271664374140291</v>
      </c>
      <c r="AE18" s="9" t="s">
        <v>27</v>
      </c>
      <c r="AF18" s="9">
        <v>3.0997099691393082E-2</v>
      </c>
      <c r="AP18" s="9" t="s">
        <v>27</v>
      </c>
      <c r="AQ18" s="9">
        <v>-8.6117163522719836E-2</v>
      </c>
    </row>
    <row r="19" spans="20:50" x14ac:dyDescent="0.3">
      <c r="T19" s="9" t="s">
        <v>28</v>
      </c>
      <c r="U19" s="9">
        <v>9.1254484560381748</v>
      </c>
      <c r="AE19" s="9" t="s">
        <v>28</v>
      </c>
      <c r="AF19" s="9">
        <v>1.0489113228297595</v>
      </c>
      <c r="AP19" s="9" t="s">
        <v>28</v>
      </c>
      <c r="AQ19" s="9">
        <v>1.4019111481569815</v>
      </c>
    </row>
    <row r="20" spans="20:50" ht="15" thickBot="1" x14ac:dyDescent="0.35">
      <c r="T20" s="10" t="s">
        <v>29</v>
      </c>
      <c r="U20" s="10">
        <v>7</v>
      </c>
      <c r="AE20" s="10" t="s">
        <v>29</v>
      </c>
      <c r="AF20" s="10">
        <v>7</v>
      </c>
      <c r="AP20" s="10" t="s">
        <v>29</v>
      </c>
      <c r="AQ20" s="10">
        <v>7</v>
      </c>
    </row>
    <row r="22" spans="20:50" ht="15" thickBot="1" x14ac:dyDescent="0.35">
      <c r="T22" t="s">
        <v>30</v>
      </c>
      <c r="AE22" t="s">
        <v>30</v>
      </c>
      <c r="AP22" t="s">
        <v>30</v>
      </c>
    </row>
    <row r="23" spans="20:50" x14ac:dyDescent="0.3">
      <c r="T23" s="11"/>
      <c r="U23" s="11" t="s">
        <v>35</v>
      </c>
      <c r="V23" s="11" t="s">
        <v>36</v>
      </c>
      <c r="W23" s="11" t="s">
        <v>37</v>
      </c>
      <c r="X23" s="11" t="s">
        <v>38</v>
      </c>
      <c r="Y23" s="11" t="s">
        <v>39</v>
      </c>
      <c r="AE23" s="11"/>
      <c r="AF23" s="11" t="s">
        <v>35</v>
      </c>
      <c r="AG23" s="11" t="s">
        <v>36</v>
      </c>
      <c r="AH23" s="11" t="s">
        <v>37</v>
      </c>
      <c r="AI23" s="11" t="s">
        <v>38</v>
      </c>
      <c r="AJ23" s="11" t="s">
        <v>39</v>
      </c>
      <c r="AP23" s="11"/>
      <c r="AQ23" s="11" t="s">
        <v>35</v>
      </c>
      <c r="AR23" s="11" t="s">
        <v>36</v>
      </c>
      <c r="AS23" s="11" t="s">
        <v>37</v>
      </c>
      <c r="AT23" s="11" t="s">
        <v>38</v>
      </c>
      <c r="AU23" s="11" t="s">
        <v>39</v>
      </c>
    </row>
    <row r="24" spans="20:50" x14ac:dyDescent="0.3">
      <c r="T24" s="9" t="s">
        <v>31</v>
      </c>
      <c r="U24" s="9">
        <v>2</v>
      </c>
      <c r="V24" s="9">
        <v>82.333333333333371</v>
      </c>
      <c r="W24" s="9">
        <v>41.166666666666686</v>
      </c>
      <c r="X24" s="9">
        <v>0.49435310936383159</v>
      </c>
      <c r="Y24" s="9">
        <v>0.64290103339225979</v>
      </c>
      <c r="AE24" s="9" t="s">
        <v>31</v>
      </c>
      <c r="AF24" s="9">
        <v>1</v>
      </c>
      <c r="AG24" s="9">
        <v>1.3113813459495454</v>
      </c>
      <c r="AH24" s="9">
        <v>1.3113813459495454</v>
      </c>
      <c r="AI24" s="9">
        <v>1.1919319313586438</v>
      </c>
      <c r="AJ24" s="9">
        <v>0.32473192127566369</v>
      </c>
      <c r="AP24" s="9" t="s">
        <v>31</v>
      </c>
      <c r="AQ24" s="9">
        <v>1</v>
      </c>
      <c r="AR24" s="9">
        <v>1.0303685205087252</v>
      </c>
      <c r="AS24" s="9">
        <v>1.0303685205087252</v>
      </c>
      <c r="AT24" s="9">
        <v>0.52426589092797227</v>
      </c>
      <c r="AU24" s="9">
        <v>0.50147602029765115</v>
      </c>
    </row>
    <row r="25" spans="20:50" x14ac:dyDescent="0.3">
      <c r="T25" s="9" t="s">
        <v>32</v>
      </c>
      <c r="U25" s="9">
        <v>4</v>
      </c>
      <c r="V25" s="9">
        <v>333.09523809523807</v>
      </c>
      <c r="W25" s="9">
        <v>83.273809523809518</v>
      </c>
      <c r="X25" s="9"/>
      <c r="Y25" s="9"/>
      <c r="AE25" s="9" t="s">
        <v>32</v>
      </c>
      <c r="AF25" s="9">
        <v>5</v>
      </c>
      <c r="AG25" s="9">
        <v>5.5010748158023803</v>
      </c>
      <c r="AH25" s="9">
        <v>1.1002149631604761</v>
      </c>
      <c r="AI25" s="9"/>
      <c r="AJ25" s="9"/>
      <c r="AP25" s="9" t="s">
        <v>32</v>
      </c>
      <c r="AQ25" s="9">
        <v>5</v>
      </c>
      <c r="AR25" s="9">
        <v>9.8267743366341307</v>
      </c>
      <c r="AS25" s="9">
        <v>1.9653548673268262</v>
      </c>
      <c r="AT25" s="9"/>
      <c r="AU25" s="9"/>
    </row>
    <row r="26" spans="20:50" ht="15" thickBot="1" x14ac:dyDescent="0.35">
      <c r="T26" s="10" t="s">
        <v>33</v>
      </c>
      <c r="U26" s="10">
        <v>6</v>
      </c>
      <c r="V26" s="10">
        <v>415.42857142857144</v>
      </c>
      <c r="W26" s="10"/>
      <c r="X26" s="10"/>
      <c r="Y26" s="10"/>
      <c r="AE26" s="10" t="s">
        <v>33</v>
      </c>
      <c r="AF26" s="10">
        <v>6</v>
      </c>
      <c r="AG26" s="10">
        <v>6.8124561617519257</v>
      </c>
      <c r="AH26" s="10"/>
      <c r="AI26" s="10"/>
      <c r="AJ26" s="10"/>
      <c r="AP26" s="10" t="s">
        <v>33</v>
      </c>
      <c r="AQ26" s="10">
        <v>6</v>
      </c>
      <c r="AR26" s="10">
        <v>10.857142857142856</v>
      </c>
      <c r="AS26" s="10"/>
      <c r="AT26" s="10"/>
      <c r="AU26" s="10"/>
    </row>
    <row r="27" spans="20:50" ht="15" thickBot="1" x14ac:dyDescent="0.35"/>
    <row r="28" spans="20:50" x14ac:dyDescent="0.3">
      <c r="T28" s="11"/>
      <c r="U28" s="11" t="s">
        <v>40</v>
      </c>
      <c r="V28" s="11" t="s">
        <v>28</v>
      </c>
      <c r="W28" s="11" t="s">
        <v>41</v>
      </c>
      <c r="X28" s="11" t="s">
        <v>42</v>
      </c>
      <c r="Y28" s="11" t="s">
        <v>43</v>
      </c>
      <c r="Z28" s="11" t="s">
        <v>44</v>
      </c>
      <c r="AA28" s="11" t="s">
        <v>45</v>
      </c>
      <c r="AB28" s="11" t="s">
        <v>46</v>
      </c>
      <c r="AE28" s="11"/>
      <c r="AF28" s="11" t="s">
        <v>40</v>
      </c>
      <c r="AG28" s="11" t="s">
        <v>28</v>
      </c>
      <c r="AH28" s="11" t="s">
        <v>41</v>
      </c>
      <c r="AI28" s="11" t="s">
        <v>42</v>
      </c>
      <c r="AJ28" s="11" t="s">
        <v>43</v>
      </c>
      <c r="AK28" s="11" t="s">
        <v>44</v>
      </c>
      <c r="AL28" s="11" t="s">
        <v>45</v>
      </c>
      <c r="AM28" s="11" t="s">
        <v>46</v>
      </c>
      <c r="AP28" s="11"/>
      <c r="AQ28" s="11" t="s">
        <v>40</v>
      </c>
      <c r="AR28" s="11" t="s">
        <v>28</v>
      </c>
      <c r="AS28" s="11" t="s">
        <v>41</v>
      </c>
      <c r="AT28" s="11" t="s">
        <v>42</v>
      </c>
      <c r="AU28" s="11" t="s">
        <v>43</v>
      </c>
      <c r="AV28" s="11" t="s">
        <v>44</v>
      </c>
      <c r="AW28" s="11" t="s">
        <v>45</v>
      </c>
      <c r="AX28" s="11" t="s">
        <v>46</v>
      </c>
    </row>
    <row r="29" spans="20:50" x14ac:dyDescent="0.3">
      <c r="T29" s="9" t="s">
        <v>34</v>
      </c>
      <c r="U29" s="9">
        <v>16.857142857142868</v>
      </c>
      <c r="V29" s="9">
        <v>14.220984303409638</v>
      </c>
      <c r="W29" s="9">
        <v>1.1853710332203364</v>
      </c>
      <c r="X29" s="9">
        <v>0.30147917151613185</v>
      </c>
      <c r="Y29" s="9">
        <v>-22.626639403153476</v>
      </c>
      <c r="Z29" s="9">
        <v>56.340925117439212</v>
      </c>
      <c r="AA29" s="9">
        <v>-22.626639403153476</v>
      </c>
      <c r="AB29" s="9">
        <v>56.340925117439212</v>
      </c>
      <c r="AE29" s="9" t="s">
        <v>34</v>
      </c>
      <c r="AF29" s="9">
        <v>2.7112028425333854</v>
      </c>
      <c r="AG29" s="9">
        <v>0.85855555700352215</v>
      </c>
      <c r="AH29" s="9">
        <v>3.1578653476961454</v>
      </c>
      <c r="AI29" s="9">
        <v>2.5155432622132903E-2</v>
      </c>
      <c r="AJ29" s="9">
        <v>0.50421552281551252</v>
      </c>
      <c r="AK29" s="9">
        <v>4.9181901622512587</v>
      </c>
      <c r="AL29" s="9">
        <v>0.50421552281551252</v>
      </c>
      <c r="AM29" s="9">
        <v>4.9181901622512587</v>
      </c>
      <c r="AP29" s="9" t="s">
        <v>34</v>
      </c>
      <c r="AQ29" s="9">
        <v>2.350792984022819</v>
      </c>
      <c r="AR29" s="9">
        <v>0.87738879066662079</v>
      </c>
      <c r="AS29" s="9">
        <v>2.6793059234740597</v>
      </c>
      <c r="AT29" s="9">
        <v>4.3856579405611218E-2</v>
      </c>
      <c r="AU29" s="9">
        <v>9.5393295944290468E-2</v>
      </c>
      <c r="AV29" s="9">
        <v>4.6061926721013471</v>
      </c>
      <c r="AW29" s="9">
        <v>9.5393295944290468E-2</v>
      </c>
      <c r="AX29" s="9">
        <v>4.6061926721013471</v>
      </c>
    </row>
    <row r="30" spans="20:50" ht="15" thickBot="1" x14ac:dyDescent="0.35">
      <c r="T30" s="9" t="s">
        <v>355</v>
      </c>
      <c r="U30" s="9">
        <v>-1.9047619047619133</v>
      </c>
      <c r="V30" s="9">
        <v>8.1498942719516894</v>
      </c>
      <c r="W30" s="9">
        <v>-0.23371614909376878</v>
      </c>
      <c r="X30" s="9">
        <v>0.82667943838078517</v>
      </c>
      <c r="Y30" s="9">
        <v>-24.532495964001715</v>
      </c>
      <c r="Z30" s="9">
        <v>20.72297215447789</v>
      </c>
      <c r="AA30" s="9">
        <v>-24.532495964001715</v>
      </c>
      <c r="AB30" s="9">
        <v>20.72297215447789</v>
      </c>
      <c r="AE30" s="10" t="s">
        <v>361</v>
      </c>
      <c r="AF30" s="10">
        <v>-0.68267534504310701</v>
      </c>
      <c r="AG30" s="10">
        <v>0.62530009009251442</v>
      </c>
      <c r="AH30" s="10">
        <v>-1.0917563516456614</v>
      </c>
      <c r="AI30" s="10">
        <v>0.32473192127566297</v>
      </c>
      <c r="AJ30" s="10">
        <v>-2.2900603984566761</v>
      </c>
      <c r="AK30" s="10">
        <v>0.92470970837046196</v>
      </c>
      <c r="AL30" s="10">
        <v>-2.2900603984566761</v>
      </c>
      <c r="AM30" s="10">
        <v>0.92470970837046196</v>
      </c>
      <c r="AP30" s="10" t="s">
        <v>366</v>
      </c>
      <c r="AQ30" s="10">
        <v>1.3670051671009296</v>
      </c>
      <c r="AR30" s="10">
        <v>1.8879668070926434</v>
      </c>
      <c r="AS30" s="10">
        <v>0.72406207670887823</v>
      </c>
      <c r="AT30" s="10">
        <v>0.50147602029765048</v>
      </c>
      <c r="AU30" s="10">
        <v>-3.4861680134957105</v>
      </c>
      <c r="AV30" s="10">
        <v>6.2201783476975692</v>
      </c>
      <c r="AW30" s="10">
        <v>-3.4861680134957105</v>
      </c>
      <c r="AX30" s="10">
        <v>6.2201783476975692</v>
      </c>
    </row>
    <row r="31" spans="20:50" ht="15" thickBot="1" x14ac:dyDescent="0.35">
      <c r="T31" s="10" t="s">
        <v>356</v>
      </c>
      <c r="U31" s="10">
        <v>2.3809523809524894E-2</v>
      </c>
      <c r="V31" s="10">
        <v>0.99566805476697273</v>
      </c>
      <c r="W31" s="10">
        <v>2.3913114110201417E-2</v>
      </c>
      <c r="X31" s="10">
        <v>0.98206730072231041</v>
      </c>
      <c r="Y31" s="10">
        <v>-2.7406081732500449</v>
      </c>
      <c r="Z31" s="10">
        <v>2.788227220869095</v>
      </c>
      <c r="AA31" s="10">
        <v>-2.7406081732500449</v>
      </c>
      <c r="AB31" s="10">
        <v>2.788227220869095</v>
      </c>
    </row>
    <row r="33" spans="20:47" x14ac:dyDescent="0.3">
      <c r="AP33" t="s">
        <v>371</v>
      </c>
    </row>
    <row r="34" spans="20:47" x14ac:dyDescent="0.3">
      <c r="T34" t="s">
        <v>357</v>
      </c>
      <c r="U34" t="s">
        <v>15</v>
      </c>
      <c r="AP34" t="s">
        <v>23</v>
      </c>
    </row>
    <row r="35" spans="20:47" ht="15" thickBot="1" x14ac:dyDescent="0.35">
      <c r="T35">
        <f>Y24</f>
        <v>0.64290103339225979</v>
      </c>
      <c r="U35" t="s">
        <v>358</v>
      </c>
      <c r="AE35" t="s">
        <v>363</v>
      </c>
      <c r="AF35" t="s">
        <v>15</v>
      </c>
    </row>
    <row r="36" spans="20:47" x14ac:dyDescent="0.3">
      <c r="AE36">
        <f>AI30</f>
        <v>0.32473192127566297</v>
      </c>
      <c r="AF36" t="s">
        <v>364</v>
      </c>
      <c r="AP36" s="12" t="s">
        <v>24</v>
      </c>
      <c r="AQ36" s="12"/>
    </row>
    <row r="37" spans="20:47" x14ac:dyDescent="0.3">
      <c r="AP37" s="9" t="s">
        <v>25</v>
      </c>
      <c r="AQ37" s="9">
        <v>0.36682194769816406</v>
      </c>
    </row>
    <row r="38" spans="20:47" x14ac:dyDescent="0.3">
      <c r="AP38" s="9" t="s">
        <v>26</v>
      </c>
      <c r="AQ38" s="9">
        <v>0.13455834131307462</v>
      </c>
    </row>
    <row r="39" spans="20:47" x14ac:dyDescent="0.3">
      <c r="AP39" s="9" t="s">
        <v>27</v>
      </c>
      <c r="AQ39" s="9">
        <v>-3.8529990424310469E-2</v>
      </c>
    </row>
    <row r="40" spans="20:47" x14ac:dyDescent="0.3">
      <c r="AP40" s="9" t="s">
        <v>28</v>
      </c>
      <c r="AQ40" s="9">
        <v>1.3708554790995744</v>
      </c>
    </row>
    <row r="41" spans="20:47" ht="15" thickBot="1" x14ac:dyDescent="0.35">
      <c r="AP41" s="10" t="s">
        <v>29</v>
      </c>
      <c r="AQ41" s="10">
        <v>7</v>
      </c>
    </row>
    <row r="43" spans="20:47" ht="15" thickBot="1" x14ac:dyDescent="0.35">
      <c r="AP43" t="s">
        <v>30</v>
      </c>
    </row>
    <row r="44" spans="20:47" x14ac:dyDescent="0.3">
      <c r="AP44" s="11"/>
      <c r="AQ44" s="11" t="s">
        <v>35</v>
      </c>
      <c r="AR44" s="11" t="s">
        <v>36</v>
      </c>
      <c r="AS44" s="11" t="s">
        <v>37</v>
      </c>
      <c r="AT44" s="11" t="s">
        <v>38</v>
      </c>
      <c r="AU44" s="11" t="s">
        <v>39</v>
      </c>
    </row>
    <row r="45" spans="20:47" x14ac:dyDescent="0.3">
      <c r="AP45" s="9" t="s">
        <v>31</v>
      </c>
      <c r="AQ45" s="9">
        <v>1</v>
      </c>
      <c r="AR45" s="9">
        <v>1.4609191342562386</v>
      </c>
      <c r="AS45" s="9">
        <v>1.4609191342562386</v>
      </c>
      <c r="AT45" s="9">
        <v>0.77739695080793003</v>
      </c>
      <c r="AU45" s="9">
        <v>0.41830114935965185</v>
      </c>
    </row>
    <row r="46" spans="20:47" x14ac:dyDescent="0.3">
      <c r="AP46" s="9" t="s">
        <v>32</v>
      </c>
      <c r="AQ46" s="9">
        <v>5</v>
      </c>
      <c r="AR46" s="9">
        <v>9.3962237228866172</v>
      </c>
      <c r="AS46" s="9">
        <v>1.8792447445773235</v>
      </c>
      <c r="AT46" s="9"/>
      <c r="AU46" s="9"/>
    </row>
    <row r="47" spans="20:47" ht="15" thickBot="1" x14ac:dyDescent="0.35">
      <c r="AP47" s="10" t="s">
        <v>33</v>
      </c>
      <c r="AQ47" s="10">
        <v>6</v>
      </c>
      <c r="AR47" s="10">
        <v>10.857142857142856</v>
      </c>
      <c r="AS47" s="10"/>
      <c r="AT47" s="10"/>
      <c r="AU47" s="10"/>
    </row>
    <row r="48" spans="20:47" ht="15" thickBot="1" x14ac:dyDescent="0.35"/>
    <row r="49" spans="42:50" x14ac:dyDescent="0.3">
      <c r="AP49" s="11"/>
      <c r="AQ49" s="11" t="s">
        <v>40</v>
      </c>
      <c r="AR49" s="11" t="s">
        <v>28</v>
      </c>
      <c r="AS49" s="11" t="s">
        <v>41</v>
      </c>
      <c r="AT49" s="11" t="s">
        <v>42</v>
      </c>
      <c r="AU49" s="11" t="s">
        <v>43</v>
      </c>
      <c r="AV49" s="11" t="s">
        <v>44</v>
      </c>
      <c r="AW49" s="11" t="s">
        <v>45</v>
      </c>
      <c r="AX49" s="11" t="s">
        <v>46</v>
      </c>
    </row>
    <row r="50" spans="42:50" x14ac:dyDescent="0.3">
      <c r="AP50" s="9" t="s">
        <v>34</v>
      </c>
      <c r="AQ50" s="9">
        <v>1.5613678531406328</v>
      </c>
      <c r="AR50" s="9">
        <v>1.5582931657301677</v>
      </c>
      <c r="AS50" s="9">
        <v>1.0019731122988171</v>
      </c>
      <c r="AT50" s="9">
        <v>0.36235141689248707</v>
      </c>
      <c r="AU50" s="9">
        <v>-2.4443522532815463</v>
      </c>
      <c r="AV50" s="9">
        <v>5.5670879595628113</v>
      </c>
      <c r="AW50" s="9">
        <v>-2.4443522532815463</v>
      </c>
      <c r="AX50" s="9">
        <v>5.5670879595628113</v>
      </c>
    </row>
    <row r="51" spans="42:50" ht="15" thickBot="1" x14ac:dyDescent="0.35">
      <c r="AP51" s="10" t="s">
        <v>367</v>
      </c>
      <c r="AQ51" s="10">
        <v>2.2575132486198033</v>
      </c>
      <c r="AR51" s="10">
        <v>2.5604063245862068</v>
      </c>
      <c r="AS51" s="10">
        <v>0.88170116865519199</v>
      </c>
      <c r="AT51" s="10">
        <v>0.41830114935965113</v>
      </c>
      <c r="AU51" s="10">
        <v>-4.3242207412098388</v>
      </c>
      <c r="AV51" s="10">
        <v>8.8392472384494454</v>
      </c>
      <c r="AW51" s="10">
        <v>-4.3242207412098388</v>
      </c>
      <c r="AX51" s="10">
        <v>8.8392472384494454</v>
      </c>
    </row>
    <row r="54" spans="42:50" x14ac:dyDescent="0.3">
      <c r="AP54" t="s">
        <v>372</v>
      </c>
    </row>
    <row r="55" spans="42:50" x14ac:dyDescent="0.3">
      <c r="AP55" t="s">
        <v>23</v>
      </c>
    </row>
    <row r="56" spans="42:50" ht="15" thickBot="1" x14ac:dyDescent="0.35"/>
    <row r="57" spans="42:50" x14ac:dyDescent="0.3">
      <c r="AP57" s="12" t="s">
        <v>24</v>
      </c>
      <c r="AQ57" s="12"/>
    </row>
    <row r="58" spans="42:50" x14ac:dyDescent="0.3">
      <c r="AP58" s="9" t="s">
        <v>25</v>
      </c>
      <c r="AQ58" s="9">
        <v>0.44786929709722667</v>
      </c>
    </row>
    <row r="59" spans="42:50" x14ac:dyDescent="0.3">
      <c r="AP59" s="9" t="s">
        <v>26</v>
      </c>
      <c r="AQ59" s="9">
        <v>0.20058690728236389</v>
      </c>
    </row>
    <row r="60" spans="42:50" x14ac:dyDescent="0.3">
      <c r="AP60" s="9" t="s">
        <v>27</v>
      </c>
      <c r="AQ60" s="9">
        <v>4.0704288738836691E-2</v>
      </c>
    </row>
    <row r="61" spans="42:50" x14ac:dyDescent="0.3">
      <c r="AP61" s="9" t="s">
        <v>28</v>
      </c>
      <c r="AQ61" s="9">
        <v>1.317523597474122</v>
      </c>
    </row>
    <row r="62" spans="42:50" ht="15" thickBot="1" x14ac:dyDescent="0.35">
      <c r="AP62" s="10" t="s">
        <v>29</v>
      </c>
      <c r="AQ62" s="10">
        <v>7</v>
      </c>
    </row>
    <row r="64" spans="42:50" ht="15" thickBot="1" x14ac:dyDescent="0.35">
      <c r="AP64" t="s">
        <v>30</v>
      </c>
    </row>
    <row r="65" spans="42:50" x14ac:dyDescent="0.3">
      <c r="AP65" s="11"/>
      <c r="AQ65" s="11" t="s">
        <v>35</v>
      </c>
      <c r="AR65" s="11" t="s">
        <v>36</v>
      </c>
      <c r="AS65" s="11" t="s">
        <v>37</v>
      </c>
      <c r="AT65" s="11" t="s">
        <v>38</v>
      </c>
      <c r="AU65" s="11" t="s">
        <v>39</v>
      </c>
    </row>
    <row r="66" spans="42:50" x14ac:dyDescent="0.3">
      <c r="AP66" s="9" t="s">
        <v>31</v>
      </c>
      <c r="AQ66" s="9">
        <v>1</v>
      </c>
      <c r="AR66" s="9">
        <v>2.1778007076370933</v>
      </c>
      <c r="AS66" s="9">
        <v>2.1778007076370933</v>
      </c>
      <c r="AT66" s="9">
        <v>1.2545885794818599</v>
      </c>
      <c r="AU66" s="9">
        <v>0.31357656786431459</v>
      </c>
    </row>
    <row r="67" spans="42:50" x14ac:dyDescent="0.3">
      <c r="AP67" s="9" t="s">
        <v>32</v>
      </c>
      <c r="AQ67" s="9">
        <v>5</v>
      </c>
      <c r="AR67" s="9">
        <v>8.6793421495057625</v>
      </c>
      <c r="AS67" s="9">
        <v>1.7358684299011524</v>
      </c>
      <c r="AT67" s="9"/>
      <c r="AU67" s="9"/>
    </row>
    <row r="68" spans="42:50" ht="15" thickBot="1" x14ac:dyDescent="0.35">
      <c r="AP68" s="10" t="s">
        <v>33</v>
      </c>
      <c r="AQ68" s="10">
        <v>6</v>
      </c>
      <c r="AR68" s="10">
        <v>10.857142857142856</v>
      </c>
      <c r="AS68" s="10"/>
      <c r="AT68" s="10"/>
      <c r="AU68" s="10"/>
    </row>
    <row r="69" spans="42:50" ht="15" thickBot="1" x14ac:dyDescent="0.35"/>
    <row r="70" spans="42:50" x14ac:dyDescent="0.3">
      <c r="AP70" s="11"/>
      <c r="AQ70" s="11" t="s">
        <v>40</v>
      </c>
      <c r="AR70" s="11" t="s">
        <v>28</v>
      </c>
      <c r="AS70" s="11" t="s">
        <v>41</v>
      </c>
      <c r="AT70" s="11" t="s">
        <v>42</v>
      </c>
      <c r="AU70" s="11" t="s">
        <v>43</v>
      </c>
      <c r="AV70" s="11" t="s">
        <v>44</v>
      </c>
      <c r="AW70" s="11" t="s">
        <v>45</v>
      </c>
      <c r="AX70" s="11" t="s">
        <v>46</v>
      </c>
    </row>
    <row r="71" spans="42:50" x14ac:dyDescent="0.3">
      <c r="AP71" s="9" t="s">
        <v>34</v>
      </c>
      <c r="AQ71" s="9">
        <v>4.8412719471534267</v>
      </c>
      <c r="AR71" s="9">
        <v>1.8400752738601434</v>
      </c>
      <c r="AS71" s="9">
        <v>2.6310184240437722</v>
      </c>
      <c r="AT71" s="9">
        <v>4.6476192000737347E-2</v>
      </c>
      <c r="AU71" s="9">
        <v>0.11120787196502402</v>
      </c>
      <c r="AV71" s="9">
        <v>9.5713360223418285</v>
      </c>
      <c r="AW71" s="9">
        <v>0.11120787196502402</v>
      </c>
      <c r="AX71" s="9">
        <v>9.5713360223418285</v>
      </c>
    </row>
    <row r="72" spans="42:50" ht="15" thickBot="1" x14ac:dyDescent="0.35">
      <c r="AP72" s="10" t="s">
        <v>368</v>
      </c>
      <c r="AQ72" s="10">
        <v>-1.0305196059065873</v>
      </c>
      <c r="AR72" s="10">
        <v>0.92003763693007179</v>
      </c>
      <c r="AS72" s="10">
        <v>-1.1200841841048648</v>
      </c>
      <c r="AT72" s="10">
        <v>0.3135765678643147</v>
      </c>
      <c r="AU72" s="10">
        <v>-3.3955516435007889</v>
      </c>
      <c r="AV72" s="10">
        <v>1.334512431687614</v>
      </c>
      <c r="AW72" s="10">
        <v>-3.3955516435007889</v>
      </c>
      <c r="AX72" s="10">
        <v>1.334512431687614</v>
      </c>
    </row>
    <row r="75" spans="42:50" x14ac:dyDescent="0.3">
      <c r="AP75" t="s">
        <v>373</v>
      </c>
    </row>
    <row r="76" spans="42:50" x14ac:dyDescent="0.3">
      <c r="AP76" t="s">
        <v>23</v>
      </c>
    </row>
    <row r="77" spans="42:50" ht="15" thickBot="1" x14ac:dyDescent="0.35"/>
    <row r="78" spans="42:50" x14ac:dyDescent="0.3">
      <c r="AP78" s="12" t="s">
        <v>24</v>
      </c>
      <c r="AQ78" s="12"/>
    </row>
    <row r="79" spans="42:50" x14ac:dyDescent="0.3">
      <c r="AP79" s="9" t="s">
        <v>25</v>
      </c>
      <c r="AQ79" s="9">
        <v>0.45883146774112327</v>
      </c>
    </row>
    <row r="80" spans="42:50" x14ac:dyDescent="0.3">
      <c r="AP80" s="9" t="s">
        <v>26</v>
      </c>
      <c r="AQ80" s="9">
        <v>0.21052631578947345</v>
      </c>
    </row>
    <row r="81" spans="42:50" x14ac:dyDescent="0.3">
      <c r="AP81" s="9" t="s">
        <v>27</v>
      </c>
      <c r="AQ81" s="9">
        <v>5.2631578947368141E-2</v>
      </c>
    </row>
    <row r="82" spans="42:50" x14ac:dyDescent="0.3">
      <c r="AP82" s="9" t="s">
        <v>28</v>
      </c>
      <c r="AQ82" s="9">
        <v>1.3093073414159544</v>
      </c>
    </row>
    <row r="83" spans="42:50" ht="15" thickBot="1" x14ac:dyDescent="0.35">
      <c r="AP83" s="10" t="s">
        <v>29</v>
      </c>
      <c r="AQ83" s="10">
        <v>7</v>
      </c>
    </row>
    <row r="85" spans="42:50" ht="15" thickBot="1" x14ac:dyDescent="0.35">
      <c r="AP85" t="s">
        <v>30</v>
      </c>
    </row>
    <row r="86" spans="42:50" x14ac:dyDescent="0.3">
      <c r="AP86" s="11"/>
      <c r="AQ86" s="11" t="s">
        <v>35</v>
      </c>
      <c r="AR86" s="11" t="s">
        <v>36</v>
      </c>
      <c r="AS86" s="11" t="s">
        <v>37</v>
      </c>
      <c r="AT86" s="11" t="s">
        <v>38</v>
      </c>
      <c r="AU86" s="11" t="s">
        <v>39</v>
      </c>
    </row>
    <row r="87" spans="42:50" x14ac:dyDescent="0.3">
      <c r="AP87" s="9" t="s">
        <v>31</v>
      </c>
      <c r="AQ87" s="9">
        <v>1</v>
      </c>
      <c r="AR87" s="9">
        <v>2.2857142857142829</v>
      </c>
      <c r="AS87" s="9">
        <v>2.2857142857142829</v>
      </c>
      <c r="AT87" s="9">
        <v>1.3333333333333315</v>
      </c>
      <c r="AU87" s="9">
        <v>0.30039829810468932</v>
      </c>
    </row>
    <row r="88" spans="42:50" x14ac:dyDescent="0.3">
      <c r="AP88" s="9" t="s">
        <v>32</v>
      </c>
      <c r="AQ88" s="9">
        <v>5</v>
      </c>
      <c r="AR88" s="9">
        <v>8.571428571428573</v>
      </c>
      <c r="AS88" s="9">
        <v>1.7142857142857146</v>
      </c>
      <c r="AT88" s="9"/>
      <c r="AU88" s="9"/>
    </row>
    <row r="89" spans="42:50" ht="15" thickBot="1" x14ac:dyDescent="0.35">
      <c r="AP89" s="10" t="s">
        <v>33</v>
      </c>
      <c r="AQ89" s="10">
        <v>6</v>
      </c>
      <c r="AR89" s="10">
        <v>10.857142857142856</v>
      </c>
      <c r="AS89" s="10"/>
      <c r="AT89" s="10"/>
      <c r="AU89" s="10"/>
    </row>
    <row r="90" spans="42:50" ht="15" thickBot="1" x14ac:dyDescent="0.35"/>
    <row r="91" spans="42:50" x14ac:dyDescent="0.3">
      <c r="AP91" s="11"/>
      <c r="AQ91" s="11" t="s">
        <v>40</v>
      </c>
      <c r="AR91" s="11" t="s">
        <v>28</v>
      </c>
      <c r="AS91" s="11" t="s">
        <v>41</v>
      </c>
      <c r="AT91" s="11" t="s">
        <v>42</v>
      </c>
      <c r="AU91" s="11" t="s">
        <v>43</v>
      </c>
      <c r="AV91" s="11" t="s">
        <v>44</v>
      </c>
      <c r="AW91" s="11" t="s">
        <v>45</v>
      </c>
      <c r="AX91" s="11" t="s">
        <v>46</v>
      </c>
    </row>
    <row r="92" spans="42:50" x14ac:dyDescent="0.3">
      <c r="AP92" s="9" t="s">
        <v>34</v>
      </c>
      <c r="AQ92" s="9">
        <v>4</v>
      </c>
      <c r="AR92" s="9">
        <v>1.1065666703449761</v>
      </c>
      <c r="AS92" s="9">
        <v>3.614784456460256</v>
      </c>
      <c r="AT92" s="9">
        <v>1.5303203884795115E-2</v>
      </c>
      <c r="AU92" s="9">
        <v>1.155479817290646</v>
      </c>
      <c r="AV92" s="9">
        <v>6.8445201827093545</v>
      </c>
      <c r="AW92" s="9">
        <v>1.155479817290646</v>
      </c>
      <c r="AX92" s="9">
        <v>6.8445201827093545</v>
      </c>
    </row>
    <row r="93" spans="42:50" ht="15" thickBot="1" x14ac:dyDescent="0.35">
      <c r="AP93" s="10" t="s">
        <v>369</v>
      </c>
      <c r="AQ93" s="10">
        <v>-0.28571428571428575</v>
      </c>
      <c r="AR93" s="10">
        <v>0.24743582965269673</v>
      </c>
      <c r="AS93" s="10">
        <v>-1.1547005383792519</v>
      </c>
      <c r="AT93" s="10">
        <v>0.30039829810468882</v>
      </c>
      <c r="AU93" s="10">
        <v>-0.92176833490510957</v>
      </c>
      <c r="AV93" s="10">
        <v>0.350339763476538</v>
      </c>
      <c r="AW93" s="10">
        <v>-0.92176833490510957</v>
      </c>
      <c r="AX93" s="10">
        <v>0.350339763476538</v>
      </c>
    </row>
    <row r="95" spans="42:50" x14ac:dyDescent="0.3">
      <c r="AP95" t="s">
        <v>374</v>
      </c>
    </row>
  </sheetData>
  <mergeCells count="4">
    <mergeCell ref="AE2:AF2"/>
    <mergeCell ref="G2:H2"/>
    <mergeCell ref="N2:Q2"/>
    <mergeCell ref="T2:V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E1B0A-FC1E-42DF-9613-45199D5529B1}">
  <sheetPr>
    <tabColor theme="2" tint="-9.9978637043366805E-2"/>
  </sheetPr>
  <dimension ref="B2:D28"/>
  <sheetViews>
    <sheetView topLeftCell="A13" workbookViewId="0">
      <selection activeCell="J7" sqref="J7"/>
    </sheetView>
  </sheetViews>
  <sheetFormatPr defaultRowHeight="14.4" x14ac:dyDescent="0.3"/>
  <cols>
    <col min="2" max="2" width="17.77734375" customWidth="1"/>
    <col min="3" max="3" width="8.88671875" customWidth="1"/>
    <col min="4" max="4" width="14.33203125" bestFit="1" customWidth="1"/>
  </cols>
  <sheetData>
    <row r="2" spans="2:4" x14ac:dyDescent="0.3">
      <c r="B2" t="s">
        <v>376</v>
      </c>
    </row>
    <row r="3" spans="2:4" x14ac:dyDescent="0.3">
      <c r="B3" t="s">
        <v>324</v>
      </c>
      <c r="C3">
        <f>0.35</f>
        <v>0.35</v>
      </c>
    </row>
    <row r="4" spans="2:4" x14ac:dyDescent="0.3">
      <c r="B4" t="s">
        <v>101</v>
      </c>
      <c r="C4">
        <v>100</v>
      </c>
    </row>
    <row r="5" spans="2:4" x14ac:dyDescent="0.3">
      <c r="B5" t="s">
        <v>377</v>
      </c>
      <c r="C5">
        <v>4</v>
      </c>
    </row>
    <row r="8" spans="2:4" ht="34.799999999999997" customHeight="1" x14ac:dyDescent="0.3">
      <c r="B8" s="186" t="s">
        <v>375</v>
      </c>
      <c r="C8" s="186"/>
      <c r="D8" s="186"/>
    </row>
    <row r="10" spans="2:4" x14ac:dyDescent="0.3">
      <c r="B10" t="s">
        <v>196</v>
      </c>
      <c r="C10" t="s">
        <v>197</v>
      </c>
      <c r="D10" t="s">
        <v>15</v>
      </c>
    </row>
    <row r="11" spans="2:4" x14ac:dyDescent="0.3">
      <c r="B11">
        <f>C3 / (1-C3) * ((C4-C5-1) / C5)</f>
        <v>12.788461538461538</v>
      </c>
      <c r="C11">
        <f>_xlfn.F.INV.RT(0.05, C5, C4-C5-1)</f>
        <v>2.467493623449645</v>
      </c>
      <c r="D11" t="s">
        <v>378</v>
      </c>
    </row>
    <row r="13" spans="2:4" x14ac:dyDescent="0.3">
      <c r="B13" t="s">
        <v>379</v>
      </c>
    </row>
    <row r="18" spans="2:4" ht="28.8" customHeight="1" x14ac:dyDescent="0.3">
      <c r="B18" s="186" t="s">
        <v>380</v>
      </c>
      <c r="C18" s="186"/>
      <c r="D18" s="186"/>
    </row>
    <row r="20" spans="2:4" x14ac:dyDescent="0.3">
      <c r="B20" t="s">
        <v>101</v>
      </c>
      <c r="C20">
        <v>25</v>
      </c>
    </row>
    <row r="21" spans="2:4" x14ac:dyDescent="0.3">
      <c r="B21" t="s">
        <v>385</v>
      </c>
      <c r="C21">
        <v>-5</v>
      </c>
    </row>
    <row r="22" spans="2:4" x14ac:dyDescent="0.3">
      <c r="B22" t="s">
        <v>386</v>
      </c>
      <c r="C22">
        <v>1.3</v>
      </c>
    </row>
    <row r="23" spans="2:4" x14ac:dyDescent="0.3">
      <c r="B23" t="s">
        <v>351</v>
      </c>
      <c r="C23">
        <f>_xlfn.T.INV.2T(0.05, 25-2)</f>
        <v>2.0686576104190491</v>
      </c>
    </row>
    <row r="25" spans="2:4" x14ac:dyDescent="0.3">
      <c r="B25" t="s">
        <v>381</v>
      </c>
      <c r="C25" t="s">
        <v>382</v>
      </c>
    </row>
    <row r="26" spans="2:4" x14ac:dyDescent="0.3">
      <c r="B26" t="s">
        <v>383</v>
      </c>
      <c r="C26" t="s">
        <v>384</v>
      </c>
    </row>
    <row r="27" spans="2:4" x14ac:dyDescent="0.3">
      <c r="B27" t="s">
        <v>56</v>
      </c>
      <c r="C27" t="s">
        <v>387</v>
      </c>
    </row>
    <row r="28" spans="2:4" x14ac:dyDescent="0.3">
      <c r="C28" t="s">
        <v>388</v>
      </c>
    </row>
  </sheetData>
  <mergeCells count="2">
    <mergeCell ref="B8:D8"/>
    <mergeCell ref="B18:D18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028C3-431B-4A30-8EED-3471F6E9895B}">
  <sheetPr>
    <tabColor theme="5" tint="0.79998168889431442"/>
  </sheetPr>
  <dimension ref="B3:C27"/>
  <sheetViews>
    <sheetView zoomScale="114" workbookViewId="0">
      <selection activeCell="F7" sqref="F7"/>
    </sheetView>
  </sheetViews>
  <sheetFormatPr defaultRowHeight="14.4" x14ac:dyDescent="0.3"/>
  <cols>
    <col min="2" max="2" width="34.109375" bestFit="1" customWidth="1"/>
  </cols>
  <sheetData>
    <row r="3" spans="2:3" ht="20.399999999999999" customHeight="1" x14ac:dyDescent="0.3">
      <c r="B3" s="186" t="s">
        <v>403</v>
      </c>
      <c r="C3" s="186"/>
    </row>
    <row r="4" spans="2:3" ht="15.6" x14ac:dyDescent="0.35">
      <c r="B4" t="s">
        <v>393</v>
      </c>
      <c r="C4">
        <v>30</v>
      </c>
    </row>
    <row r="5" spans="2:3" x14ac:dyDescent="0.3">
      <c r="B5" t="s">
        <v>351</v>
      </c>
      <c r="C5">
        <f>_xlfn.T.INV.2T(0.05, 15-2)</f>
        <v>2.1603686564627926</v>
      </c>
    </row>
    <row r="8" spans="2:3" ht="21.6" customHeight="1" x14ac:dyDescent="0.3">
      <c r="B8" s="186" t="s">
        <v>402</v>
      </c>
      <c r="C8" s="186"/>
    </row>
    <row r="9" spans="2:3" ht="15.6" x14ac:dyDescent="0.35">
      <c r="B9" t="s">
        <v>193</v>
      </c>
      <c r="C9">
        <f>'З-6. Анализ нелинейных функций'!AC36</f>
        <v>0.10483123805461854</v>
      </c>
    </row>
    <row r="10" spans="2:3" ht="15.6" x14ac:dyDescent="0.35">
      <c r="B10" t="s">
        <v>395</v>
      </c>
      <c r="C10">
        <f>AVERAGE('З-6. Анализ нелинейных функций'!AB5:AB19)</f>
        <v>3.1327362405294163</v>
      </c>
    </row>
    <row r="11" spans="2:3" ht="15.6" x14ac:dyDescent="0.35">
      <c r="B11" t="s">
        <v>392</v>
      </c>
      <c r="C11" cm="1">
        <f t="array" ref="C11">SQRT(C9 / (15 - 2) * (1 + 1 / 15 + (C17 - C10)^2 / SUMSQ('З-9. Прогноз по нелинейным ф.'!AB5:AB19 - 'З-9. Прогноз по нелинейным ф.'!C10)))</f>
        <v>9.2765755687775509E-2</v>
      </c>
    </row>
    <row r="14" spans="2:3" ht="21" customHeight="1" x14ac:dyDescent="0.3">
      <c r="B14" s="186" t="s">
        <v>400</v>
      </c>
      <c r="C14" s="186"/>
    </row>
    <row r="15" spans="2:3" ht="15.6" x14ac:dyDescent="0.35">
      <c r="B15" t="s">
        <v>389</v>
      </c>
      <c r="C15">
        <f>'З-6. Анализ нелинейных функций'!AB40</f>
        <v>2.4619975416549598</v>
      </c>
    </row>
    <row r="16" spans="2:3" ht="15.6" x14ac:dyDescent="0.35">
      <c r="B16" t="s">
        <v>401</v>
      </c>
      <c r="C16">
        <f>'З-6. Анализ нелинейных функций'!AB41</f>
        <v>0.85283967024173146</v>
      </c>
    </row>
    <row r="17" spans="2:3" ht="15.6" x14ac:dyDescent="0.35">
      <c r="B17" t="s">
        <v>394</v>
      </c>
      <c r="C17">
        <f>LN(C4)</f>
        <v>3.4011973816621555</v>
      </c>
    </row>
    <row r="18" spans="2:3" ht="15.6" x14ac:dyDescent="0.35">
      <c r="B18" t="s">
        <v>390</v>
      </c>
      <c r="C18">
        <f>C15+C16*C17</f>
        <v>5.3626735950587534</v>
      </c>
    </row>
    <row r="21" spans="2:3" ht="19.8" customHeight="1" x14ac:dyDescent="0.3">
      <c r="B21" s="186" t="s">
        <v>396</v>
      </c>
      <c r="C21" s="186"/>
    </row>
    <row r="22" spans="2:3" ht="15.6" x14ac:dyDescent="0.35">
      <c r="B22" t="s">
        <v>391</v>
      </c>
      <c r="C22">
        <f>EXP(C18)</f>
        <v>213.29444778398653</v>
      </c>
    </row>
    <row r="24" spans="2:3" ht="21" customHeight="1" x14ac:dyDescent="0.3"/>
    <row r="25" spans="2:3" x14ac:dyDescent="0.3">
      <c r="B25" s="186" t="s">
        <v>397</v>
      </c>
      <c r="C25" s="186"/>
    </row>
    <row r="26" spans="2:3" ht="15.6" x14ac:dyDescent="0.35">
      <c r="B26" t="s">
        <v>398</v>
      </c>
      <c r="C26">
        <f>C18 - C5 * C11</f>
        <v>5.1622653640777978</v>
      </c>
    </row>
    <row r="27" spans="2:3" ht="15.6" x14ac:dyDescent="0.35">
      <c r="B27" t="s">
        <v>399</v>
      </c>
      <c r="C27">
        <f>C18 + C5 * C11</f>
        <v>5.563081826039709</v>
      </c>
    </row>
  </sheetData>
  <mergeCells count="5">
    <mergeCell ref="B21:C21"/>
    <mergeCell ref="B25:C25"/>
    <mergeCell ref="B14:C14"/>
    <mergeCell ref="B8:C8"/>
    <mergeCell ref="B3:C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DD53B-666E-4C6A-8EF3-427F23713F3C}">
  <sheetPr>
    <tabColor theme="5" tint="0.79998168889431442"/>
  </sheetPr>
  <dimension ref="B2:AF207"/>
  <sheetViews>
    <sheetView topLeftCell="A46" zoomScale="91" workbookViewId="0">
      <selection activeCell="D174" sqref="D174"/>
    </sheetView>
  </sheetViews>
  <sheetFormatPr defaultRowHeight="14.4" x14ac:dyDescent="0.3"/>
  <cols>
    <col min="2" max="2" width="8" customWidth="1"/>
    <col min="3" max="3" width="31.109375" customWidth="1"/>
    <col min="4" max="4" width="22" customWidth="1"/>
    <col min="5" max="5" width="15.88671875" customWidth="1"/>
    <col min="6" max="6" width="25.21875" bestFit="1" customWidth="1"/>
    <col min="7" max="7" width="25.77734375" customWidth="1"/>
    <col min="8" max="8" width="12.88671875" bestFit="1" customWidth="1"/>
    <col min="10" max="10" width="9" bestFit="1" customWidth="1"/>
    <col min="11" max="11" width="13" bestFit="1" customWidth="1"/>
    <col min="12" max="12" width="11.88671875" bestFit="1" customWidth="1"/>
    <col min="13" max="13" width="21.21875" bestFit="1" customWidth="1"/>
    <col min="14" max="14" width="16.21875" bestFit="1" customWidth="1"/>
    <col min="15" max="15" width="27.88671875" customWidth="1"/>
    <col min="16" max="16" width="9.109375" bestFit="1" customWidth="1"/>
    <col min="17" max="17" width="13.44140625" bestFit="1" customWidth="1"/>
    <col min="18" max="18" width="13.109375" bestFit="1" customWidth="1"/>
    <col min="22" max="22" width="11.44140625" customWidth="1"/>
    <col min="24" max="24" width="25.77734375" bestFit="1" customWidth="1"/>
    <col min="28" max="28" width="13.33203125" bestFit="1" customWidth="1"/>
  </cols>
  <sheetData>
    <row r="2" spans="2:16" x14ac:dyDescent="0.3">
      <c r="B2" s="109"/>
    </row>
    <row r="3" spans="2:16" ht="22.2" customHeight="1" x14ac:dyDescent="0.3">
      <c r="C3" s="108" t="s">
        <v>407</v>
      </c>
      <c r="D3" s="108" t="s">
        <v>408</v>
      </c>
      <c r="E3" s="108" t="s">
        <v>409</v>
      </c>
      <c r="F3" s="108" t="s">
        <v>410</v>
      </c>
      <c r="G3" s="108" t="s">
        <v>411</v>
      </c>
      <c r="H3" s="108" t="s">
        <v>412</v>
      </c>
      <c r="I3" s="108" t="s">
        <v>406</v>
      </c>
      <c r="M3" s="108" t="s">
        <v>408</v>
      </c>
      <c r="N3" s="108" t="s">
        <v>409</v>
      </c>
      <c r="O3" s="108" t="s">
        <v>411</v>
      </c>
      <c r="P3" s="108" t="s">
        <v>412</v>
      </c>
    </row>
    <row r="4" spans="2:16" x14ac:dyDescent="0.3">
      <c r="B4">
        <v>1</v>
      </c>
      <c r="C4">
        <v>1250</v>
      </c>
      <c r="D4">
        <v>1</v>
      </c>
      <c r="E4">
        <v>28</v>
      </c>
      <c r="F4">
        <f t="shared" ref="F4:F23" si="0">IF(I4="женский",0,1)</f>
        <v>0</v>
      </c>
      <c r="G4">
        <f t="shared" ref="G4:G23" si="1">D4*F4</f>
        <v>0</v>
      </c>
      <c r="H4">
        <f t="shared" ref="H4:H23" si="2">E4*F4</f>
        <v>0</v>
      </c>
      <c r="I4" t="s">
        <v>404</v>
      </c>
      <c r="M4">
        <v>1</v>
      </c>
      <c r="N4">
        <v>28</v>
      </c>
      <c r="O4">
        <f>G4</f>
        <v>0</v>
      </c>
      <c r="P4">
        <f>H4</f>
        <v>0</v>
      </c>
    </row>
    <row r="5" spans="2:16" x14ac:dyDescent="0.3">
      <c r="B5">
        <v>2</v>
      </c>
      <c r="C5">
        <v>1950</v>
      </c>
      <c r="D5">
        <v>9</v>
      </c>
      <c r="E5">
        <v>34</v>
      </c>
      <c r="F5">
        <f t="shared" si="0"/>
        <v>1</v>
      </c>
      <c r="G5">
        <f t="shared" si="1"/>
        <v>9</v>
      </c>
      <c r="H5">
        <f t="shared" si="2"/>
        <v>34</v>
      </c>
      <c r="I5" t="s">
        <v>405</v>
      </c>
      <c r="M5">
        <v>9</v>
      </c>
      <c r="N5">
        <v>34</v>
      </c>
      <c r="O5">
        <f t="shared" ref="O5:O23" si="3">G5</f>
        <v>9</v>
      </c>
      <c r="P5">
        <f t="shared" ref="P5:P23" si="4">H5</f>
        <v>34</v>
      </c>
    </row>
    <row r="6" spans="2:16" x14ac:dyDescent="0.3">
      <c r="B6">
        <v>3</v>
      </c>
      <c r="C6">
        <v>2300</v>
      </c>
      <c r="D6">
        <v>11</v>
      </c>
      <c r="E6">
        <v>55</v>
      </c>
      <c r="F6">
        <f t="shared" si="0"/>
        <v>1</v>
      </c>
      <c r="G6">
        <f t="shared" si="1"/>
        <v>11</v>
      </c>
      <c r="H6">
        <f t="shared" si="2"/>
        <v>55</v>
      </c>
      <c r="I6" t="s">
        <v>405</v>
      </c>
      <c r="M6">
        <v>11</v>
      </c>
      <c r="N6">
        <v>55</v>
      </c>
      <c r="O6">
        <f t="shared" si="3"/>
        <v>11</v>
      </c>
      <c r="P6">
        <f t="shared" si="4"/>
        <v>55</v>
      </c>
    </row>
    <row r="7" spans="2:16" x14ac:dyDescent="0.3">
      <c r="B7">
        <v>4</v>
      </c>
      <c r="C7">
        <v>1350</v>
      </c>
      <c r="D7">
        <v>3</v>
      </c>
      <c r="E7">
        <v>24</v>
      </c>
      <c r="F7">
        <f t="shared" si="0"/>
        <v>0</v>
      </c>
      <c r="G7">
        <f t="shared" si="1"/>
        <v>0</v>
      </c>
      <c r="H7">
        <f t="shared" si="2"/>
        <v>0</v>
      </c>
      <c r="I7" t="s">
        <v>404</v>
      </c>
      <c r="M7">
        <v>3</v>
      </c>
      <c r="N7">
        <v>24</v>
      </c>
      <c r="O7">
        <f t="shared" si="3"/>
        <v>0</v>
      </c>
      <c r="P7">
        <f t="shared" si="4"/>
        <v>0</v>
      </c>
    </row>
    <row r="8" spans="2:16" x14ac:dyDescent="0.3">
      <c r="B8">
        <v>5</v>
      </c>
      <c r="C8">
        <v>1650</v>
      </c>
      <c r="D8">
        <v>2</v>
      </c>
      <c r="E8">
        <v>42</v>
      </c>
      <c r="F8">
        <f t="shared" si="0"/>
        <v>1</v>
      </c>
      <c r="G8">
        <f t="shared" si="1"/>
        <v>2</v>
      </c>
      <c r="H8">
        <f t="shared" si="2"/>
        <v>42</v>
      </c>
      <c r="I8" t="s">
        <v>405</v>
      </c>
      <c r="M8">
        <v>2</v>
      </c>
      <c r="N8">
        <v>42</v>
      </c>
      <c r="O8">
        <f t="shared" si="3"/>
        <v>2</v>
      </c>
      <c r="P8">
        <f t="shared" si="4"/>
        <v>42</v>
      </c>
    </row>
    <row r="9" spans="2:16" x14ac:dyDescent="0.3">
      <c r="B9">
        <v>6</v>
      </c>
      <c r="C9">
        <v>1750</v>
      </c>
      <c r="D9">
        <v>1</v>
      </c>
      <c r="E9">
        <v>43</v>
      </c>
      <c r="F9">
        <f t="shared" si="0"/>
        <v>1</v>
      </c>
      <c r="G9">
        <f t="shared" si="1"/>
        <v>1</v>
      </c>
      <c r="H9">
        <f t="shared" si="2"/>
        <v>43</v>
      </c>
      <c r="I9" t="s">
        <v>405</v>
      </c>
      <c r="M9">
        <v>1</v>
      </c>
      <c r="N9">
        <v>43</v>
      </c>
      <c r="O9">
        <f t="shared" si="3"/>
        <v>1</v>
      </c>
      <c r="P9">
        <f t="shared" si="4"/>
        <v>43</v>
      </c>
    </row>
    <row r="10" spans="2:16" x14ac:dyDescent="0.3">
      <c r="B10">
        <v>7</v>
      </c>
      <c r="C10">
        <v>1550</v>
      </c>
      <c r="D10">
        <v>4</v>
      </c>
      <c r="E10">
        <v>37</v>
      </c>
      <c r="F10">
        <f t="shared" si="0"/>
        <v>0</v>
      </c>
      <c r="G10">
        <f t="shared" si="1"/>
        <v>0</v>
      </c>
      <c r="H10">
        <f t="shared" si="2"/>
        <v>0</v>
      </c>
      <c r="I10" t="s">
        <v>404</v>
      </c>
      <c r="M10">
        <v>4</v>
      </c>
      <c r="N10">
        <v>37</v>
      </c>
      <c r="O10">
        <f t="shared" si="3"/>
        <v>0</v>
      </c>
      <c r="P10">
        <f t="shared" si="4"/>
        <v>0</v>
      </c>
    </row>
    <row r="11" spans="2:16" x14ac:dyDescent="0.3">
      <c r="B11">
        <v>8</v>
      </c>
      <c r="C11">
        <v>1400</v>
      </c>
      <c r="D11">
        <v>1</v>
      </c>
      <c r="E11">
        <v>18</v>
      </c>
      <c r="F11">
        <f t="shared" si="0"/>
        <v>1</v>
      </c>
      <c r="G11">
        <f t="shared" si="1"/>
        <v>1</v>
      </c>
      <c r="H11">
        <f t="shared" si="2"/>
        <v>18</v>
      </c>
      <c r="I11" t="s">
        <v>405</v>
      </c>
      <c r="M11">
        <v>1</v>
      </c>
      <c r="N11">
        <v>18</v>
      </c>
      <c r="O11">
        <f t="shared" si="3"/>
        <v>1</v>
      </c>
      <c r="P11">
        <f t="shared" si="4"/>
        <v>18</v>
      </c>
    </row>
    <row r="12" spans="2:16" x14ac:dyDescent="0.3">
      <c r="B12">
        <v>9</v>
      </c>
      <c r="C12">
        <v>1700</v>
      </c>
      <c r="D12">
        <v>3</v>
      </c>
      <c r="E12">
        <v>63</v>
      </c>
      <c r="F12">
        <f t="shared" si="0"/>
        <v>0</v>
      </c>
      <c r="G12">
        <f t="shared" si="1"/>
        <v>0</v>
      </c>
      <c r="H12">
        <f t="shared" si="2"/>
        <v>0</v>
      </c>
      <c r="I12" t="s">
        <v>404</v>
      </c>
      <c r="M12">
        <v>3</v>
      </c>
      <c r="N12">
        <v>63</v>
      </c>
      <c r="O12">
        <f t="shared" si="3"/>
        <v>0</v>
      </c>
      <c r="P12">
        <f t="shared" si="4"/>
        <v>0</v>
      </c>
    </row>
    <row r="13" spans="2:16" x14ac:dyDescent="0.3">
      <c r="B13">
        <v>10</v>
      </c>
      <c r="C13">
        <v>2000</v>
      </c>
      <c r="D13">
        <v>4</v>
      </c>
      <c r="E13">
        <v>58</v>
      </c>
      <c r="F13">
        <f t="shared" si="0"/>
        <v>1</v>
      </c>
      <c r="G13">
        <f t="shared" si="1"/>
        <v>4</v>
      </c>
      <c r="H13">
        <f t="shared" si="2"/>
        <v>58</v>
      </c>
      <c r="I13" t="s">
        <v>405</v>
      </c>
      <c r="M13">
        <v>4</v>
      </c>
      <c r="N13">
        <v>58</v>
      </c>
      <c r="O13">
        <f t="shared" si="3"/>
        <v>4</v>
      </c>
      <c r="P13">
        <f t="shared" si="4"/>
        <v>58</v>
      </c>
    </row>
    <row r="14" spans="2:16" x14ac:dyDescent="0.3">
      <c r="B14">
        <v>11</v>
      </c>
      <c r="C14">
        <v>1350</v>
      </c>
      <c r="D14">
        <v>1</v>
      </c>
      <c r="E14">
        <v>30</v>
      </c>
      <c r="F14">
        <f t="shared" si="0"/>
        <v>0</v>
      </c>
      <c r="G14">
        <f t="shared" si="1"/>
        <v>0</v>
      </c>
      <c r="H14">
        <f t="shared" si="2"/>
        <v>0</v>
      </c>
      <c r="I14" t="s">
        <v>404</v>
      </c>
      <c r="M14">
        <v>1</v>
      </c>
      <c r="N14">
        <v>30</v>
      </c>
      <c r="O14">
        <f t="shared" si="3"/>
        <v>0</v>
      </c>
      <c r="P14">
        <f t="shared" si="4"/>
        <v>0</v>
      </c>
    </row>
    <row r="15" spans="2:16" x14ac:dyDescent="0.3">
      <c r="B15">
        <v>12</v>
      </c>
      <c r="C15">
        <v>1600</v>
      </c>
      <c r="D15">
        <v>2</v>
      </c>
      <c r="E15">
        <v>43</v>
      </c>
      <c r="F15">
        <f t="shared" si="0"/>
        <v>1</v>
      </c>
      <c r="G15">
        <f t="shared" si="1"/>
        <v>2</v>
      </c>
      <c r="H15">
        <f t="shared" si="2"/>
        <v>43</v>
      </c>
      <c r="I15" t="s">
        <v>405</v>
      </c>
      <c r="M15">
        <v>2</v>
      </c>
      <c r="N15">
        <v>43</v>
      </c>
      <c r="O15">
        <f t="shared" si="3"/>
        <v>2</v>
      </c>
      <c r="P15">
        <f t="shared" si="4"/>
        <v>43</v>
      </c>
    </row>
    <row r="16" spans="2:16" x14ac:dyDescent="0.3">
      <c r="B16">
        <v>13</v>
      </c>
      <c r="C16">
        <v>1400</v>
      </c>
      <c r="D16">
        <v>2</v>
      </c>
      <c r="E16">
        <v>23</v>
      </c>
      <c r="F16">
        <f t="shared" si="0"/>
        <v>1</v>
      </c>
      <c r="G16">
        <f t="shared" si="1"/>
        <v>2</v>
      </c>
      <c r="H16">
        <f t="shared" si="2"/>
        <v>23</v>
      </c>
      <c r="I16" t="s">
        <v>405</v>
      </c>
      <c r="M16">
        <v>2</v>
      </c>
      <c r="N16">
        <v>23</v>
      </c>
      <c r="O16">
        <f t="shared" si="3"/>
        <v>2</v>
      </c>
      <c r="P16">
        <f t="shared" si="4"/>
        <v>23</v>
      </c>
    </row>
    <row r="17" spans="2:29" x14ac:dyDescent="0.3">
      <c r="B17">
        <v>14</v>
      </c>
      <c r="C17">
        <v>1500</v>
      </c>
      <c r="D17">
        <v>3</v>
      </c>
      <c r="E17">
        <v>21</v>
      </c>
      <c r="F17">
        <f t="shared" si="0"/>
        <v>1</v>
      </c>
      <c r="G17">
        <f t="shared" si="1"/>
        <v>3</v>
      </c>
      <c r="H17">
        <f t="shared" si="2"/>
        <v>21</v>
      </c>
      <c r="I17" t="s">
        <v>405</v>
      </c>
      <c r="M17">
        <v>3</v>
      </c>
      <c r="N17">
        <v>21</v>
      </c>
      <c r="O17">
        <f t="shared" si="3"/>
        <v>3</v>
      </c>
      <c r="P17">
        <f t="shared" si="4"/>
        <v>21</v>
      </c>
    </row>
    <row r="18" spans="2:29" x14ac:dyDescent="0.3">
      <c r="B18">
        <v>15</v>
      </c>
      <c r="C18">
        <v>2350</v>
      </c>
      <c r="D18">
        <v>6</v>
      </c>
      <c r="E18">
        <v>50</v>
      </c>
      <c r="F18">
        <f t="shared" si="0"/>
        <v>1</v>
      </c>
      <c r="G18">
        <f t="shared" si="1"/>
        <v>6</v>
      </c>
      <c r="H18">
        <f t="shared" si="2"/>
        <v>50</v>
      </c>
      <c r="I18" t="s">
        <v>405</v>
      </c>
      <c r="M18">
        <v>6</v>
      </c>
      <c r="N18">
        <v>50</v>
      </c>
      <c r="O18">
        <f t="shared" si="3"/>
        <v>6</v>
      </c>
      <c r="P18">
        <f t="shared" si="4"/>
        <v>50</v>
      </c>
    </row>
    <row r="19" spans="2:29" x14ac:dyDescent="0.3">
      <c r="B19">
        <v>16</v>
      </c>
      <c r="C19">
        <v>1700</v>
      </c>
      <c r="D19">
        <v>9</v>
      </c>
      <c r="E19">
        <v>64</v>
      </c>
      <c r="F19">
        <f t="shared" si="0"/>
        <v>0</v>
      </c>
      <c r="G19">
        <f t="shared" si="1"/>
        <v>0</v>
      </c>
      <c r="H19">
        <f t="shared" si="2"/>
        <v>0</v>
      </c>
      <c r="I19" t="s">
        <v>404</v>
      </c>
      <c r="M19">
        <v>9</v>
      </c>
      <c r="N19">
        <v>64</v>
      </c>
      <c r="O19">
        <f t="shared" si="3"/>
        <v>0</v>
      </c>
      <c r="P19">
        <f t="shared" si="4"/>
        <v>0</v>
      </c>
    </row>
    <row r="20" spans="2:29" x14ac:dyDescent="0.3">
      <c r="B20">
        <v>17</v>
      </c>
      <c r="C20">
        <v>1350</v>
      </c>
      <c r="D20">
        <v>1</v>
      </c>
      <c r="E20">
        <v>36</v>
      </c>
      <c r="F20">
        <f t="shared" si="0"/>
        <v>0</v>
      </c>
      <c r="G20">
        <f t="shared" si="1"/>
        <v>0</v>
      </c>
      <c r="H20">
        <f t="shared" si="2"/>
        <v>0</v>
      </c>
      <c r="I20" t="s">
        <v>404</v>
      </c>
      <c r="M20">
        <v>1</v>
      </c>
      <c r="N20">
        <v>36</v>
      </c>
      <c r="O20">
        <f t="shared" si="3"/>
        <v>0</v>
      </c>
      <c r="P20">
        <f t="shared" si="4"/>
        <v>0</v>
      </c>
    </row>
    <row r="21" spans="2:29" x14ac:dyDescent="0.3">
      <c r="B21">
        <v>18</v>
      </c>
      <c r="C21">
        <v>2600</v>
      </c>
      <c r="D21">
        <v>7</v>
      </c>
      <c r="E21">
        <v>58</v>
      </c>
      <c r="F21">
        <f t="shared" si="0"/>
        <v>1</v>
      </c>
      <c r="G21">
        <f t="shared" si="1"/>
        <v>7</v>
      </c>
      <c r="H21">
        <f t="shared" si="2"/>
        <v>58</v>
      </c>
      <c r="I21" t="s">
        <v>405</v>
      </c>
      <c r="M21">
        <v>7</v>
      </c>
      <c r="N21">
        <v>58</v>
      </c>
      <c r="O21">
        <f t="shared" si="3"/>
        <v>7</v>
      </c>
      <c r="P21">
        <f t="shared" si="4"/>
        <v>58</v>
      </c>
    </row>
    <row r="22" spans="2:29" x14ac:dyDescent="0.3">
      <c r="B22">
        <v>19</v>
      </c>
      <c r="C22">
        <v>1400</v>
      </c>
      <c r="D22">
        <v>2</v>
      </c>
      <c r="E22">
        <v>35</v>
      </c>
      <c r="F22">
        <f t="shared" si="0"/>
        <v>0</v>
      </c>
      <c r="G22">
        <f t="shared" si="1"/>
        <v>0</v>
      </c>
      <c r="H22">
        <f t="shared" si="2"/>
        <v>0</v>
      </c>
      <c r="I22" t="s">
        <v>404</v>
      </c>
      <c r="M22">
        <v>2</v>
      </c>
      <c r="N22">
        <v>35</v>
      </c>
      <c r="O22">
        <f t="shared" si="3"/>
        <v>0</v>
      </c>
      <c r="P22">
        <f t="shared" si="4"/>
        <v>0</v>
      </c>
    </row>
    <row r="23" spans="2:29" x14ac:dyDescent="0.3">
      <c r="B23">
        <v>20</v>
      </c>
      <c r="C23">
        <v>1550</v>
      </c>
      <c r="D23">
        <v>2</v>
      </c>
      <c r="E23">
        <v>41</v>
      </c>
      <c r="F23">
        <f t="shared" si="0"/>
        <v>1</v>
      </c>
      <c r="G23">
        <f t="shared" si="1"/>
        <v>2</v>
      </c>
      <c r="H23">
        <f t="shared" si="2"/>
        <v>41</v>
      </c>
      <c r="I23" t="s">
        <v>405</v>
      </c>
      <c r="M23">
        <v>2</v>
      </c>
      <c r="N23">
        <v>41</v>
      </c>
      <c r="O23">
        <f t="shared" si="3"/>
        <v>2</v>
      </c>
      <c r="P23">
        <f t="shared" si="4"/>
        <v>41</v>
      </c>
    </row>
    <row r="27" spans="2:29" ht="27.6" customHeight="1" x14ac:dyDescent="0.3">
      <c r="C27" s="186" t="s">
        <v>414</v>
      </c>
      <c r="D27" s="186"/>
      <c r="E27" s="56"/>
      <c r="I27" s="56"/>
      <c r="M27" s="186" t="s">
        <v>415</v>
      </c>
      <c r="N27" s="186"/>
      <c r="O27" s="186"/>
      <c r="T27" s="57"/>
      <c r="U27" s="57"/>
      <c r="X27" s="186" t="s">
        <v>416</v>
      </c>
      <c r="Y27" s="186"/>
      <c r="Z27" s="186"/>
      <c r="AA27" s="186"/>
      <c r="AB27" s="186"/>
      <c r="AC27" s="186"/>
    </row>
    <row r="29" spans="2:29" x14ac:dyDescent="0.3">
      <c r="C29" t="s">
        <v>23</v>
      </c>
      <c r="M29" t="s">
        <v>23</v>
      </c>
      <c r="X29" t="s">
        <v>23</v>
      </c>
    </row>
    <row r="30" spans="2:29" ht="15" thickBot="1" x14ac:dyDescent="0.35"/>
    <row r="31" spans="2:29" x14ac:dyDescent="0.3">
      <c r="C31" s="12" t="s">
        <v>24</v>
      </c>
      <c r="D31" s="12"/>
      <c r="M31" s="12" t="s">
        <v>24</v>
      </c>
      <c r="N31" s="12"/>
      <c r="X31" s="12" t="s">
        <v>24</v>
      </c>
      <c r="Y31" s="12"/>
    </row>
    <row r="32" spans="2:29" x14ac:dyDescent="0.3">
      <c r="C32" s="9" t="s">
        <v>25</v>
      </c>
      <c r="D32" s="9">
        <v>0.90010474994619261</v>
      </c>
      <c r="M32" s="9" t="s">
        <v>25</v>
      </c>
      <c r="N32" s="9">
        <v>0.93872615657092473</v>
      </c>
      <c r="X32" s="9" t="s">
        <v>25</v>
      </c>
      <c r="Y32" s="9">
        <v>0.94070849989742844</v>
      </c>
    </row>
    <row r="33" spans="3:32" x14ac:dyDescent="0.3">
      <c r="C33" s="9" t="s">
        <v>26</v>
      </c>
      <c r="D33" s="9">
        <v>0.81018856087569802</v>
      </c>
      <c r="M33" s="9" t="s">
        <v>26</v>
      </c>
      <c r="N33" s="9">
        <v>0.88120679703042037</v>
      </c>
      <c r="X33" s="9" t="s">
        <v>26</v>
      </c>
      <c r="Y33" s="9">
        <v>0.88493248177927009</v>
      </c>
    </row>
    <row r="34" spans="3:32" x14ac:dyDescent="0.3">
      <c r="C34" s="9" t="s">
        <v>27</v>
      </c>
      <c r="D34" s="113">
        <v>0.77459891603989139</v>
      </c>
      <c r="M34" s="9" t="s">
        <v>27</v>
      </c>
      <c r="N34" s="112">
        <v>0.84952860957186593</v>
      </c>
      <c r="X34" s="9" t="s">
        <v>27</v>
      </c>
      <c r="Y34" s="113">
        <v>0.84383693955758077</v>
      </c>
    </row>
    <row r="35" spans="3:32" x14ac:dyDescent="0.3">
      <c r="C35" s="9" t="s">
        <v>28</v>
      </c>
      <c r="D35" s="9">
        <v>178.32371592357876</v>
      </c>
      <c r="M35" s="9" t="s">
        <v>28</v>
      </c>
      <c r="N35" s="9">
        <v>145.69950367336151</v>
      </c>
      <c r="X35" s="9" t="s">
        <v>28</v>
      </c>
      <c r="Y35" s="9">
        <v>148.42951251367634</v>
      </c>
    </row>
    <row r="36" spans="3:32" ht="15" thickBot="1" x14ac:dyDescent="0.35">
      <c r="C36" s="10" t="s">
        <v>29</v>
      </c>
      <c r="D36" s="10">
        <v>20</v>
      </c>
      <c r="M36" s="10" t="s">
        <v>29</v>
      </c>
      <c r="N36" s="10">
        <v>20</v>
      </c>
      <c r="X36" s="10" t="s">
        <v>29</v>
      </c>
      <c r="Y36" s="10">
        <v>20</v>
      </c>
    </row>
    <row r="38" spans="3:32" ht="15" thickBot="1" x14ac:dyDescent="0.35">
      <c r="C38" t="s">
        <v>30</v>
      </c>
      <c r="M38" t="s">
        <v>30</v>
      </c>
      <c r="X38" t="s">
        <v>30</v>
      </c>
    </row>
    <row r="39" spans="3:32" x14ac:dyDescent="0.3">
      <c r="C39" s="11"/>
      <c r="D39" s="11" t="s">
        <v>35</v>
      </c>
      <c r="E39" s="11" t="s">
        <v>36</v>
      </c>
      <c r="F39" s="11" t="s">
        <v>37</v>
      </c>
      <c r="G39" s="11" t="s">
        <v>38</v>
      </c>
      <c r="H39" s="11" t="s">
        <v>39</v>
      </c>
      <c r="M39" s="11"/>
      <c r="N39" s="11" t="s">
        <v>35</v>
      </c>
      <c r="O39" s="11" t="s">
        <v>36</v>
      </c>
      <c r="P39" s="11" t="s">
        <v>37</v>
      </c>
      <c r="Q39" s="11" t="s">
        <v>38</v>
      </c>
      <c r="R39" s="11" t="s">
        <v>39</v>
      </c>
      <c r="X39" s="11"/>
      <c r="Y39" s="11" t="s">
        <v>35</v>
      </c>
      <c r="Z39" s="11" t="s">
        <v>36</v>
      </c>
      <c r="AA39" s="11" t="s">
        <v>37</v>
      </c>
      <c r="AB39" s="11" t="s">
        <v>38</v>
      </c>
      <c r="AC39" s="11" t="s">
        <v>39</v>
      </c>
    </row>
    <row r="40" spans="3:32" x14ac:dyDescent="0.3">
      <c r="C40" s="9" t="s">
        <v>31</v>
      </c>
      <c r="D40" s="9">
        <v>3</v>
      </c>
      <c r="E40" s="9">
        <v>2171710.4374273084</v>
      </c>
      <c r="F40" s="9">
        <v>723903.47914243618</v>
      </c>
      <c r="G40" s="9">
        <v>22.764727341717386</v>
      </c>
      <c r="H40" s="9">
        <v>5.1282879012944987E-6</v>
      </c>
      <c r="M40" s="9" t="s">
        <v>31</v>
      </c>
      <c r="N40" s="9">
        <v>4</v>
      </c>
      <c r="O40" s="9">
        <v>2362074.8194400417</v>
      </c>
      <c r="P40" s="9">
        <v>590518.70486001042</v>
      </c>
      <c r="Q40" s="9">
        <v>27.817462668384255</v>
      </c>
      <c r="R40" s="9">
        <v>8.7552274921819364E-7</v>
      </c>
      <c r="X40" s="9" t="s">
        <v>31</v>
      </c>
      <c r="Y40" s="9">
        <v>5</v>
      </c>
      <c r="Z40" s="9">
        <v>2372061.5174093335</v>
      </c>
      <c r="AA40" s="9">
        <v>474412.30348186672</v>
      </c>
      <c r="AB40" s="9">
        <v>21.533539501815458</v>
      </c>
      <c r="AC40" s="9">
        <v>4.0561705953490991E-6</v>
      </c>
    </row>
    <row r="41" spans="3:32" x14ac:dyDescent="0.3">
      <c r="C41" s="9" t="s">
        <v>32</v>
      </c>
      <c r="D41" s="9">
        <v>16</v>
      </c>
      <c r="E41" s="9">
        <v>508789.56257269147</v>
      </c>
      <c r="F41" s="9">
        <v>31799.347660793217</v>
      </c>
      <c r="G41" s="9"/>
      <c r="H41" s="9"/>
      <c r="M41" s="9" t="s">
        <v>32</v>
      </c>
      <c r="N41" s="9">
        <v>15</v>
      </c>
      <c r="O41" s="9">
        <v>318425.18055995827</v>
      </c>
      <c r="P41" s="9">
        <v>21228.345370663887</v>
      </c>
      <c r="Q41" s="9"/>
      <c r="R41" s="9"/>
      <c r="X41" s="9" t="s">
        <v>32</v>
      </c>
      <c r="Y41" s="9">
        <v>14</v>
      </c>
      <c r="Z41" s="9">
        <v>308438.48259066639</v>
      </c>
      <c r="AA41" s="9">
        <v>22031.3201850476</v>
      </c>
      <c r="AB41" s="9"/>
      <c r="AC41" s="9"/>
    </row>
    <row r="42" spans="3:32" ht="15" thickBot="1" x14ac:dyDescent="0.35">
      <c r="C42" s="10" t="s">
        <v>33</v>
      </c>
      <c r="D42" s="10">
        <v>19</v>
      </c>
      <c r="E42" s="10">
        <v>2680500</v>
      </c>
      <c r="F42" s="10"/>
      <c r="G42" s="10"/>
      <c r="H42" s="10"/>
      <c r="M42" s="10" t="s">
        <v>33</v>
      </c>
      <c r="N42" s="10">
        <v>19</v>
      </c>
      <c r="O42" s="10">
        <v>2680500</v>
      </c>
      <c r="P42" s="10"/>
      <c r="Q42" s="10"/>
      <c r="R42" s="10"/>
      <c r="X42" s="10" t="s">
        <v>33</v>
      </c>
      <c r="Y42" s="10">
        <v>19</v>
      </c>
      <c r="Z42" s="10">
        <v>2680500</v>
      </c>
      <c r="AA42" s="10"/>
      <c r="AB42" s="10"/>
      <c r="AC42" s="10"/>
    </row>
    <row r="43" spans="3:32" ht="15" thickBot="1" x14ac:dyDescent="0.35"/>
    <row r="44" spans="3:32" x14ac:dyDescent="0.3">
      <c r="C44" s="11"/>
      <c r="D44" s="11" t="s">
        <v>40</v>
      </c>
      <c r="E44" s="11" t="s">
        <v>28</v>
      </c>
      <c r="F44" s="11" t="s">
        <v>41</v>
      </c>
      <c r="G44" s="11" t="s">
        <v>42</v>
      </c>
      <c r="H44" s="11" t="s">
        <v>43</v>
      </c>
      <c r="I44" s="11" t="s">
        <v>44</v>
      </c>
      <c r="J44" s="11" t="s">
        <v>45</v>
      </c>
      <c r="K44" s="11" t="s">
        <v>46</v>
      </c>
      <c r="M44" s="11"/>
      <c r="N44" s="11" t="s">
        <v>40</v>
      </c>
      <c r="O44" s="11" t="s">
        <v>28</v>
      </c>
      <c r="P44" s="11" t="s">
        <v>41</v>
      </c>
      <c r="Q44" s="11" t="s">
        <v>42</v>
      </c>
      <c r="R44" s="11" t="s">
        <v>43</v>
      </c>
      <c r="S44" s="11" t="s">
        <v>44</v>
      </c>
      <c r="T44" s="11" t="s">
        <v>45</v>
      </c>
      <c r="U44" s="11" t="s">
        <v>46</v>
      </c>
      <c r="X44" s="11"/>
      <c r="Y44" s="11" t="s">
        <v>40</v>
      </c>
      <c r="Z44" s="11" t="s">
        <v>28</v>
      </c>
      <c r="AA44" s="11" t="s">
        <v>41</v>
      </c>
      <c r="AB44" s="11" t="s">
        <v>42</v>
      </c>
      <c r="AC44" s="11" t="s">
        <v>43</v>
      </c>
      <c r="AD44" s="11" t="s">
        <v>44</v>
      </c>
      <c r="AE44" s="11" t="s">
        <v>45</v>
      </c>
      <c r="AF44" s="11" t="s">
        <v>46</v>
      </c>
    </row>
    <row r="45" spans="3:32" x14ac:dyDescent="0.3">
      <c r="C45" s="9" t="s">
        <v>34</v>
      </c>
      <c r="D45" s="9">
        <v>840.96771943107387</v>
      </c>
      <c r="E45" s="9">
        <v>133.20071990277322</v>
      </c>
      <c r="F45" s="9">
        <v>6.3135373445798102</v>
      </c>
      <c r="G45" s="112">
        <v>1.030950296774313E-5</v>
      </c>
      <c r="H45" s="9">
        <v>558.59480744909888</v>
      </c>
      <c r="I45" s="9">
        <v>1123.3406314130489</v>
      </c>
      <c r="J45" s="9">
        <v>558.59480744909888</v>
      </c>
      <c r="K45" s="9">
        <v>1123.3406314130489</v>
      </c>
      <c r="M45" s="9" t="s">
        <v>34</v>
      </c>
      <c r="N45" s="9">
        <v>989.27742765220751</v>
      </c>
      <c r="O45" s="9">
        <v>102.37313641046421</v>
      </c>
      <c r="P45" s="9">
        <v>9.6634474857320782</v>
      </c>
      <c r="Q45" s="112">
        <v>7.825026093439216E-8</v>
      </c>
      <c r="R45" s="9">
        <v>771.07425257259479</v>
      </c>
      <c r="S45" s="9">
        <v>1207.4806027318202</v>
      </c>
      <c r="T45" s="9">
        <v>771.07425257259479</v>
      </c>
      <c r="U45" s="9">
        <v>1207.4806027318202</v>
      </c>
      <c r="X45" s="9" t="s">
        <v>34</v>
      </c>
      <c r="Y45" s="9">
        <v>1072.6681286969917</v>
      </c>
      <c r="Z45" s="9">
        <v>161.91876879349667</v>
      </c>
      <c r="AA45" s="9">
        <v>6.6247300216630265</v>
      </c>
      <c r="AB45" s="116">
        <v>1.1422613746961289E-5</v>
      </c>
      <c r="AC45" s="9">
        <v>725.38690886465929</v>
      </c>
      <c r="AD45" s="9">
        <v>1419.9493485293242</v>
      </c>
      <c r="AE45" s="9">
        <v>725.38690886465929</v>
      </c>
      <c r="AF45" s="9">
        <v>1419.9493485293242</v>
      </c>
    </row>
    <row r="46" spans="3:32" x14ac:dyDescent="0.3">
      <c r="C46" s="9" t="s">
        <v>408</v>
      </c>
      <c r="D46" s="9">
        <v>49.841774267501911</v>
      </c>
      <c r="E46" s="9">
        <v>16.277423898560166</v>
      </c>
      <c r="F46" s="9">
        <v>3.0620185711272598</v>
      </c>
      <c r="G46" s="112">
        <v>7.4491691468289468E-3</v>
      </c>
      <c r="H46" s="9">
        <v>15.335177087273514</v>
      </c>
      <c r="I46" s="9">
        <v>84.348371447730301</v>
      </c>
      <c r="J46" s="9">
        <v>15.335177087273514</v>
      </c>
      <c r="K46" s="9">
        <v>84.348371447730301</v>
      </c>
      <c r="M46" s="9" t="s">
        <v>408</v>
      </c>
      <c r="N46" s="9">
        <v>10.585848064312861</v>
      </c>
      <c r="O46" s="9">
        <v>27.593253780377289</v>
      </c>
      <c r="P46" s="9">
        <v>0.38363899192783485</v>
      </c>
      <c r="Q46" s="113">
        <v>0.70662901068386508</v>
      </c>
      <c r="R46" s="9">
        <v>-48.227780166387831</v>
      </c>
      <c r="S46" s="9">
        <v>69.399476295013557</v>
      </c>
      <c r="T46" s="9">
        <v>-48.227780166387831</v>
      </c>
      <c r="U46" s="9">
        <v>69.399476295013557</v>
      </c>
      <c r="X46" s="9" t="s">
        <v>408</v>
      </c>
      <c r="Y46" s="9">
        <v>15.233043418276736</v>
      </c>
      <c r="Z46" s="9">
        <v>28.945306107545445</v>
      </c>
      <c r="AA46" s="9">
        <v>0.52626990233507309</v>
      </c>
      <c r="AB46" s="117">
        <v>0.60693795049562438</v>
      </c>
      <c r="AC46" s="9">
        <v>-46.848463798892652</v>
      </c>
      <c r="AD46" s="9">
        <v>77.314550635446125</v>
      </c>
      <c r="AE46" s="9">
        <v>-46.848463798892652</v>
      </c>
      <c r="AF46" s="9">
        <v>77.314550635446125</v>
      </c>
    </row>
    <row r="47" spans="3:32" x14ac:dyDescent="0.3">
      <c r="C47" s="9" t="s">
        <v>409</v>
      </c>
      <c r="D47" s="9">
        <v>11.754118807985369</v>
      </c>
      <c r="E47" s="9">
        <v>3.4520310393233635</v>
      </c>
      <c r="F47" s="9">
        <v>3.4049864193252755</v>
      </c>
      <c r="G47" s="112">
        <v>3.6218552666578618E-3</v>
      </c>
      <c r="H47" s="9">
        <v>4.436139914647514</v>
      </c>
      <c r="I47" s="9">
        <v>19.072097701323223</v>
      </c>
      <c r="J47" s="9">
        <v>4.436139914647514</v>
      </c>
      <c r="K47" s="9">
        <v>19.072097701323223</v>
      </c>
      <c r="M47" s="9" t="s">
        <v>409</v>
      </c>
      <c r="N47" s="9">
        <v>10.762287443429814</v>
      </c>
      <c r="O47" s="9">
        <v>3.7128619416951931</v>
      </c>
      <c r="P47" s="9">
        <v>2.8986500474391574</v>
      </c>
      <c r="Q47" s="112">
        <v>1.1024818644336715E-2</v>
      </c>
      <c r="R47" s="9">
        <v>2.8485095450774143</v>
      </c>
      <c r="S47" s="9">
        <v>18.676065341782213</v>
      </c>
      <c r="T47" s="9">
        <v>2.8485095450774143</v>
      </c>
      <c r="U47" s="9">
        <v>18.676065341782213</v>
      </c>
      <c r="X47" s="9" t="s">
        <v>409</v>
      </c>
      <c r="Y47" s="9">
        <v>8.5270092378089082</v>
      </c>
      <c r="Z47" s="9">
        <v>5.0328247474643568</v>
      </c>
      <c r="AA47" s="9">
        <v>1.6942789915553875</v>
      </c>
      <c r="AB47" s="117">
        <v>0.11233180821828335</v>
      </c>
      <c r="AC47" s="9">
        <v>-2.2673262831759295</v>
      </c>
      <c r="AD47" s="9">
        <v>19.321344758793746</v>
      </c>
      <c r="AE47" s="9">
        <v>-2.2673262831759295</v>
      </c>
      <c r="AF47" s="9">
        <v>19.321344758793746</v>
      </c>
    </row>
    <row r="48" spans="3:32" ht="15" thickBot="1" x14ac:dyDescent="0.35">
      <c r="C48" s="10" t="s">
        <v>410</v>
      </c>
      <c r="D48" s="10">
        <v>312.81640939759393</v>
      </c>
      <c r="E48" s="10">
        <v>83.256795969491918</v>
      </c>
      <c r="F48" s="10">
        <v>3.7572477508288977</v>
      </c>
      <c r="G48" s="115">
        <v>1.7212248365015442E-3</v>
      </c>
      <c r="H48" s="10">
        <v>136.31988642568518</v>
      </c>
      <c r="I48" s="10">
        <v>489.31293236950268</v>
      </c>
      <c r="J48" s="10">
        <v>136.31988642568518</v>
      </c>
      <c r="K48" s="10">
        <v>489.31293236950268</v>
      </c>
      <c r="M48" s="9" t="s">
        <v>411</v>
      </c>
      <c r="N48" s="9">
        <v>50.077325146217859</v>
      </c>
      <c r="O48" s="9">
        <v>31.324876080976487</v>
      </c>
      <c r="P48" s="9">
        <v>1.5986439983598111</v>
      </c>
      <c r="Q48" s="113">
        <v>0.13074696643865996</v>
      </c>
      <c r="R48" s="9">
        <v>-16.690067741295721</v>
      </c>
      <c r="S48" s="9">
        <v>116.84471803373144</v>
      </c>
      <c r="T48" s="9">
        <v>-16.690067741295721</v>
      </c>
      <c r="U48" s="9">
        <v>116.84471803373144</v>
      </c>
      <c r="X48" s="9" t="s">
        <v>410</v>
      </c>
      <c r="Y48" s="9">
        <v>-142.51420491745168</v>
      </c>
      <c r="Z48" s="9">
        <v>211.67397115415437</v>
      </c>
      <c r="AA48" s="9">
        <v>-0.67327222208943116</v>
      </c>
      <c r="AB48" s="117">
        <v>0.51173612278962222</v>
      </c>
      <c r="AC48" s="9">
        <v>-596.50972042757928</v>
      </c>
      <c r="AD48" s="9">
        <v>311.48131059267598</v>
      </c>
      <c r="AE48" s="9">
        <v>-596.50972042757928</v>
      </c>
      <c r="AF48" s="9">
        <v>311.48131059267598</v>
      </c>
    </row>
    <row r="49" spans="3:32" ht="15" thickBot="1" x14ac:dyDescent="0.35">
      <c r="M49" s="10" t="s">
        <v>412</v>
      </c>
      <c r="N49" s="10">
        <v>4.0846000325342962</v>
      </c>
      <c r="O49" s="10">
        <v>3.13618359907329</v>
      </c>
      <c r="P49" s="10">
        <v>1.3024110048089192</v>
      </c>
      <c r="Q49" s="114">
        <v>0.21241918052560224</v>
      </c>
      <c r="R49" s="10">
        <v>-2.6000170745024853</v>
      </c>
      <c r="S49" s="10">
        <v>10.769217139571078</v>
      </c>
      <c r="T49" s="10">
        <v>-2.6000170745024853</v>
      </c>
      <c r="U49" s="10">
        <v>10.769217139571078</v>
      </c>
      <c r="X49" s="9" t="s">
        <v>411</v>
      </c>
      <c r="Y49" s="9">
        <v>45.101451200497607</v>
      </c>
      <c r="Z49" s="9">
        <v>32.75644756765827</v>
      </c>
      <c r="AA49" s="9">
        <v>1.3768724800618504</v>
      </c>
      <c r="AB49" s="117">
        <v>0.19017118282234588</v>
      </c>
      <c r="AC49" s="9">
        <v>-25.154141486093394</v>
      </c>
      <c r="AD49" s="9">
        <v>115.35704388708861</v>
      </c>
      <c r="AE49" s="9">
        <v>-25.154141486093394</v>
      </c>
      <c r="AF49" s="9">
        <v>115.35704388708861</v>
      </c>
    </row>
    <row r="50" spans="3:32" ht="15" thickBot="1" x14ac:dyDescent="0.35">
      <c r="X50" s="10" t="s">
        <v>412</v>
      </c>
      <c r="Y50" s="10">
        <v>7.6693450496536455</v>
      </c>
      <c r="Z50" s="10">
        <v>6.2093894404193</v>
      </c>
      <c r="AA50" s="10">
        <v>1.235120638388524</v>
      </c>
      <c r="AB50" s="118">
        <v>0.23711290923871756</v>
      </c>
      <c r="AC50" s="10">
        <v>-5.6484707622550543</v>
      </c>
      <c r="AD50" s="10">
        <v>20.987160861562344</v>
      </c>
      <c r="AE50" s="10">
        <v>-5.6484707622550543</v>
      </c>
      <c r="AF50" s="10">
        <v>20.987160861562344</v>
      </c>
    </row>
    <row r="52" spans="3:32" x14ac:dyDescent="0.3">
      <c r="C52" t="s">
        <v>47</v>
      </c>
    </row>
    <row r="53" spans="3:32" ht="15" thickBot="1" x14ac:dyDescent="0.35"/>
    <row r="54" spans="3:32" ht="21.6" customHeight="1" x14ac:dyDescent="0.3">
      <c r="C54" s="11" t="s">
        <v>48</v>
      </c>
      <c r="D54" s="11" t="s">
        <v>417</v>
      </c>
      <c r="E54" s="11" t="s">
        <v>49</v>
      </c>
    </row>
    <row r="55" spans="3:32" x14ac:dyDescent="0.3">
      <c r="C55" s="9">
        <v>1</v>
      </c>
      <c r="D55" s="9">
        <v>1219.9248203221662</v>
      </c>
      <c r="E55" s="9">
        <v>30.07517967783383</v>
      </c>
    </row>
    <row r="56" spans="3:32" x14ac:dyDescent="0.3">
      <c r="C56" s="9">
        <v>2</v>
      </c>
      <c r="D56" s="9">
        <v>2002.0001367076875</v>
      </c>
      <c r="E56" s="9">
        <v>-52.000136707687489</v>
      </c>
    </row>
    <row r="57" spans="3:32" x14ac:dyDescent="0.3">
      <c r="C57" s="9">
        <v>3</v>
      </c>
      <c r="D57" s="9">
        <v>2348.5201802103843</v>
      </c>
      <c r="E57" s="9">
        <v>-48.520180210384297</v>
      </c>
    </row>
    <row r="58" spans="3:32" x14ac:dyDescent="0.3">
      <c r="C58" s="9">
        <v>4</v>
      </c>
      <c r="D58" s="9">
        <v>1272.5918936252285</v>
      </c>
      <c r="E58" s="9">
        <v>77.408106374771478</v>
      </c>
    </row>
    <row r="59" spans="3:32" x14ac:dyDescent="0.3">
      <c r="C59" s="9">
        <v>5</v>
      </c>
      <c r="D59" s="9">
        <v>1747.140667299057</v>
      </c>
      <c r="E59" s="9">
        <v>-97.140667299056986</v>
      </c>
    </row>
    <row r="60" spans="3:32" x14ac:dyDescent="0.3">
      <c r="C60" s="9">
        <v>6</v>
      </c>
      <c r="D60" s="9">
        <v>1709.0530118395404</v>
      </c>
      <c r="E60" s="9">
        <v>40.946988160459568</v>
      </c>
    </row>
    <row r="61" spans="3:32" x14ac:dyDescent="0.3">
      <c r="C61" s="9">
        <v>7</v>
      </c>
      <c r="D61" s="9">
        <v>1475.2372123965401</v>
      </c>
      <c r="E61" s="9">
        <v>74.762787603459856</v>
      </c>
    </row>
    <row r="62" spans="3:32" x14ac:dyDescent="0.3">
      <c r="C62" s="9">
        <v>8</v>
      </c>
      <c r="D62" s="9">
        <v>1415.2000416399064</v>
      </c>
      <c r="E62" s="9">
        <v>-15.200041639906431</v>
      </c>
    </row>
    <row r="63" spans="3:32" x14ac:dyDescent="0.3">
      <c r="C63" s="9">
        <v>9</v>
      </c>
      <c r="D63" s="9">
        <v>1731.002527136658</v>
      </c>
      <c r="E63" s="9">
        <v>-31.002527136658045</v>
      </c>
    </row>
    <row r="64" spans="3:32" x14ac:dyDescent="0.3">
      <c r="C64" s="9">
        <v>10</v>
      </c>
      <c r="D64" s="9">
        <v>2034.8901167618269</v>
      </c>
      <c r="E64" s="9">
        <v>-34.890116761826903</v>
      </c>
    </row>
    <row r="65" spans="3:21" x14ac:dyDescent="0.3">
      <c r="C65" s="9">
        <v>11</v>
      </c>
      <c r="D65" s="9">
        <v>1243.4330579381369</v>
      </c>
      <c r="E65" s="9">
        <v>106.56694206186307</v>
      </c>
      <c r="M65" s="88"/>
      <c r="N65" s="88"/>
      <c r="O65" s="88"/>
      <c r="P65" s="88"/>
      <c r="Q65" s="88"/>
      <c r="R65" s="88"/>
      <c r="S65" s="88"/>
      <c r="T65" s="88"/>
      <c r="U65" s="88"/>
    </row>
    <row r="66" spans="3:21" x14ac:dyDescent="0.3">
      <c r="C66" s="9">
        <v>12</v>
      </c>
      <c r="D66" s="9">
        <v>1758.8947861070424</v>
      </c>
      <c r="E66" s="9">
        <v>-158.89478610704236</v>
      </c>
      <c r="M66" s="88"/>
      <c r="N66" s="88"/>
      <c r="O66" s="88"/>
      <c r="P66" s="88"/>
      <c r="Q66" s="88"/>
      <c r="R66" s="88"/>
      <c r="S66" s="88"/>
      <c r="T66" s="88"/>
      <c r="U66" s="88"/>
    </row>
    <row r="67" spans="3:21" x14ac:dyDescent="0.3">
      <c r="C67" s="9">
        <v>13</v>
      </c>
      <c r="D67" s="9">
        <v>1523.8124099473353</v>
      </c>
      <c r="E67" s="9">
        <v>-123.81240994733525</v>
      </c>
      <c r="M67" s="119"/>
      <c r="N67" s="119"/>
      <c r="O67" s="88"/>
      <c r="P67" s="88"/>
      <c r="Q67" s="88"/>
      <c r="R67" s="88"/>
      <c r="S67" s="88"/>
      <c r="T67" s="88"/>
      <c r="U67" s="88"/>
    </row>
    <row r="68" spans="3:21" x14ac:dyDescent="0.3">
      <c r="C68" s="9">
        <v>14</v>
      </c>
      <c r="D68" s="9">
        <v>1550.1459465988664</v>
      </c>
      <c r="E68" s="9">
        <v>-50.145946598866431</v>
      </c>
      <c r="M68" s="9"/>
      <c r="N68" s="9"/>
      <c r="O68" s="88"/>
      <c r="P68" s="88"/>
      <c r="Q68" s="88"/>
      <c r="R68" s="88"/>
      <c r="S68" s="88"/>
      <c r="T68" s="88"/>
      <c r="U68" s="88"/>
    </row>
    <row r="69" spans="3:21" x14ac:dyDescent="0.3">
      <c r="C69" s="9">
        <v>15</v>
      </c>
      <c r="D69" s="9">
        <v>2040.5407148329477</v>
      </c>
      <c r="E69" s="9">
        <v>309.45928516705226</v>
      </c>
      <c r="M69" s="9"/>
      <c r="N69" s="9"/>
      <c r="O69" s="88"/>
      <c r="P69" s="88"/>
      <c r="Q69" s="88"/>
      <c r="R69" s="88"/>
      <c r="S69" s="88"/>
      <c r="T69" s="88"/>
      <c r="U69" s="88"/>
    </row>
    <row r="70" spans="3:21" x14ac:dyDescent="0.3">
      <c r="C70" s="9">
        <v>16</v>
      </c>
      <c r="D70" s="9">
        <v>2041.8072915496546</v>
      </c>
      <c r="E70" s="9">
        <v>-341.80729154965456</v>
      </c>
      <c r="M70" s="9"/>
      <c r="N70" s="9"/>
      <c r="O70" s="88"/>
      <c r="P70" s="88"/>
      <c r="Q70" s="88"/>
      <c r="R70" s="88"/>
      <c r="S70" s="88"/>
      <c r="T70" s="88"/>
      <c r="U70" s="88"/>
    </row>
    <row r="71" spans="3:21" x14ac:dyDescent="0.3">
      <c r="C71" s="9">
        <v>17</v>
      </c>
      <c r="D71" s="9">
        <v>1313.957770786049</v>
      </c>
      <c r="E71" s="9">
        <v>36.042229213951032</v>
      </c>
      <c r="M71" s="9"/>
      <c r="N71" s="9"/>
      <c r="O71" s="88"/>
      <c r="P71" s="88"/>
      <c r="Q71" s="88"/>
      <c r="R71" s="88"/>
      <c r="S71" s="88"/>
      <c r="T71" s="88"/>
      <c r="U71" s="88"/>
    </row>
    <row r="72" spans="3:21" x14ac:dyDescent="0.3">
      <c r="C72" s="9">
        <v>18</v>
      </c>
      <c r="D72" s="9">
        <v>2184.4154395643322</v>
      </c>
      <c r="E72" s="9">
        <v>415.58456043566775</v>
      </c>
      <c r="M72" s="9"/>
      <c r="N72" s="9"/>
      <c r="O72" s="88"/>
      <c r="P72" s="88"/>
      <c r="Q72" s="88"/>
      <c r="R72" s="88"/>
      <c r="S72" s="88"/>
      <c r="T72" s="88"/>
      <c r="U72" s="88"/>
    </row>
    <row r="73" spans="3:21" x14ac:dyDescent="0.3">
      <c r="C73" s="9">
        <v>19</v>
      </c>
      <c r="D73" s="9">
        <v>1352.0454262455657</v>
      </c>
      <c r="E73" s="9">
        <v>47.95457375443425</v>
      </c>
      <c r="M73" s="88"/>
      <c r="N73" s="88"/>
      <c r="O73" s="88"/>
      <c r="P73" s="88"/>
      <c r="Q73" s="88"/>
      <c r="R73" s="88"/>
      <c r="S73" s="88"/>
      <c r="T73" s="88"/>
      <c r="U73" s="88"/>
    </row>
    <row r="74" spans="3:21" ht="15" thickBot="1" x14ac:dyDescent="0.35">
      <c r="C74" s="10">
        <v>20</v>
      </c>
      <c r="D74" s="10">
        <v>1735.3865484910716</v>
      </c>
      <c r="E74" s="10">
        <v>-185.38654849107161</v>
      </c>
      <c r="M74" s="88"/>
      <c r="N74" s="88"/>
      <c r="O74" s="88"/>
      <c r="P74" s="88"/>
      <c r="Q74" s="88"/>
      <c r="R74" s="88"/>
      <c r="S74" s="88"/>
      <c r="T74" s="88"/>
      <c r="U74" s="88"/>
    </row>
    <row r="75" spans="3:21" x14ac:dyDescent="0.3">
      <c r="M75" s="120"/>
      <c r="N75" s="120"/>
      <c r="O75" s="120"/>
      <c r="P75" s="120"/>
      <c r="Q75" s="120"/>
      <c r="R75" s="120"/>
      <c r="S75" s="88"/>
      <c r="T75" s="88"/>
      <c r="U75" s="88"/>
    </row>
    <row r="76" spans="3:21" x14ac:dyDescent="0.3">
      <c r="M76" s="9"/>
      <c r="N76" s="9"/>
      <c r="O76" s="9"/>
      <c r="P76" s="9"/>
      <c r="Q76" s="9"/>
      <c r="R76" s="9"/>
      <c r="S76" s="88"/>
      <c r="T76" s="88"/>
      <c r="U76" s="88"/>
    </row>
    <row r="77" spans="3:21" x14ac:dyDescent="0.3">
      <c r="M77" s="9"/>
      <c r="N77" s="9"/>
      <c r="O77" s="9"/>
      <c r="P77" s="9"/>
      <c r="Q77" s="9"/>
      <c r="R77" s="9"/>
      <c r="S77" s="88"/>
      <c r="T77" s="88"/>
      <c r="U77" s="88"/>
    </row>
    <row r="78" spans="3:21" x14ac:dyDescent="0.3">
      <c r="C78" s="56" t="s">
        <v>413</v>
      </c>
      <c r="M78" s="9"/>
      <c r="N78" s="9"/>
      <c r="O78" s="9"/>
      <c r="P78" s="9"/>
      <c r="Q78" s="9"/>
      <c r="R78" s="9"/>
      <c r="S78" s="88"/>
      <c r="T78" s="88"/>
      <c r="U78" s="88"/>
    </row>
    <row r="79" spans="3:21" x14ac:dyDescent="0.3">
      <c r="M79" s="88"/>
      <c r="N79" s="88"/>
      <c r="O79" s="88"/>
      <c r="P79" s="88"/>
      <c r="Q79" s="88"/>
      <c r="R79" s="88"/>
      <c r="S79" s="88"/>
      <c r="T79" s="88"/>
      <c r="U79" s="88"/>
    </row>
    <row r="80" spans="3:21" ht="26.4" customHeight="1" x14ac:dyDescent="0.3">
      <c r="C80" s="186" t="s">
        <v>418</v>
      </c>
      <c r="D80" s="186"/>
      <c r="E80" s="186"/>
      <c r="F80" s="186"/>
      <c r="G80" s="186"/>
      <c r="I80" t="s">
        <v>23</v>
      </c>
      <c r="R80" s="120"/>
      <c r="S80" s="120"/>
      <c r="T80" s="120"/>
      <c r="U80" s="120"/>
    </row>
    <row r="81" spans="3:21" ht="15" thickBot="1" x14ac:dyDescent="0.35">
      <c r="R81" s="9"/>
      <c r="S81" s="9"/>
      <c r="T81" s="9"/>
      <c r="U81" s="9"/>
    </row>
    <row r="82" spans="3:21" x14ac:dyDescent="0.3">
      <c r="C82" s="2" t="s">
        <v>354</v>
      </c>
      <c r="D82" t="s">
        <v>208</v>
      </c>
      <c r="E82" t="s">
        <v>419</v>
      </c>
      <c r="F82" t="s">
        <v>209</v>
      </c>
      <c r="G82" t="s">
        <v>420</v>
      </c>
      <c r="I82" s="12" t="s">
        <v>24</v>
      </c>
      <c r="J82" s="12"/>
      <c r="R82" s="9"/>
      <c r="S82" s="9"/>
      <c r="T82" s="9"/>
      <c r="U82" s="9"/>
    </row>
    <row r="83" spans="3:21" x14ac:dyDescent="0.3">
      <c r="C83">
        <f>E55^2</f>
        <v>904.516432653989</v>
      </c>
      <c r="D83">
        <f>D4</f>
        <v>1</v>
      </c>
      <c r="E83">
        <f>D83^2</f>
        <v>1</v>
      </c>
      <c r="F83">
        <f>E4</f>
        <v>28</v>
      </c>
      <c r="G83">
        <f>F83^2</f>
        <v>784</v>
      </c>
      <c r="I83" s="9" t="s">
        <v>25</v>
      </c>
      <c r="J83" s="9">
        <v>0.63426407418022523</v>
      </c>
      <c r="R83" s="9"/>
      <c r="S83" s="9"/>
      <c r="T83" s="9"/>
      <c r="U83" s="9"/>
    </row>
    <row r="84" spans="3:21" x14ac:dyDescent="0.3">
      <c r="C84">
        <f t="shared" ref="C84:C101" si="5">E56^2</f>
        <v>2704.014217618188</v>
      </c>
      <c r="D84">
        <f t="shared" ref="D84:D102" si="6">D5</f>
        <v>9</v>
      </c>
      <c r="E84">
        <f t="shared" ref="E84:E102" si="7">D84^2</f>
        <v>81</v>
      </c>
      <c r="F84">
        <f t="shared" ref="F84:F102" si="8">E5</f>
        <v>34</v>
      </c>
      <c r="G84">
        <f t="shared" ref="G84:G102" si="9">F84^2</f>
        <v>1156</v>
      </c>
      <c r="I84" s="9" t="s">
        <v>26</v>
      </c>
      <c r="J84" s="9">
        <v>0.40229091579569826</v>
      </c>
      <c r="R84" s="9"/>
      <c r="S84" s="9"/>
      <c r="T84" s="9"/>
      <c r="U84" s="9"/>
    </row>
    <row r="85" spans="3:21" x14ac:dyDescent="0.3">
      <c r="C85">
        <f t="shared" si="5"/>
        <v>2354.2078876481678</v>
      </c>
      <c r="D85">
        <f t="shared" si="6"/>
        <v>11</v>
      </c>
      <c r="E85">
        <f t="shared" si="7"/>
        <v>121</v>
      </c>
      <c r="F85">
        <f t="shared" si="8"/>
        <v>55</v>
      </c>
      <c r="G85">
        <f t="shared" si="9"/>
        <v>3025</v>
      </c>
      <c r="I85" s="9" t="s">
        <v>27</v>
      </c>
      <c r="J85" s="9">
        <v>0.24290182667455115</v>
      </c>
    </row>
    <row r="86" spans="3:21" x14ac:dyDescent="0.3">
      <c r="C86">
        <f t="shared" si="5"/>
        <v>5992.0149325279372</v>
      </c>
      <c r="D86">
        <f t="shared" si="6"/>
        <v>3</v>
      </c>
      <c r="E86">
        <f t="shared" si="7"/>
        <v>9</v>
      </c>
      <c r="F86">
        <f t="shared" si="8"/>
        <v>24</v>
      </c>
      <c r="G86">
        <f t="shared" si="9"/>
        <v>576</v>
      </c>
      <c r="I86" s="9" t="s">
        <v>28</v>
      </c>
      <c r="J86" s="9">
        <v>40947.110134356102</v>
      </c>
    </row>
    <row r="87" spans="3:21" ht="15" thickBot="1" x14ac:dyDescent="0.35">
      <c r="C87">
        <f t="shared" si="5"/>
        <v>9436.3092433060792</v>
      </c>
      <c r="D87">
        <f t="shared" si="6"/>
        <v>2</v>
      </c>
      <c r="E87">
        <f t="shared" si="7"/>
        <v>4</v>
      </c>
      <c r="F87">
        <f t="shared" si="8"/>
        <v>42</v>
      </c>
      <c r="G87">
        <f t="shared" si="9"/>
        <v>1764</v>
      </c>
      <c r="I87" s="10" t="s">
        <v>29</v>
      </c>
      <c r="J87" s="10">
        <v>20</v>
      </c>
    </row>
    <row r="88" spans="3:21" x14ac:dyDescent="0.3">
      <c r="C88">
        <f t="shared" si="5"/>
        <v>1676.655839412816</v>
      </c>
      <c r="D88">
        <f t="shared" si="6"/>
        <v>1</v>
      </c>
      <c r="E88">
        <f t="shared" si="7"/>
        <v>1</v>
      </c>
      <c r="F88">
        <f t="shared" si="8"/>
        <v>43</v>
      </c>
      <c r="G88">
        <f t="shared" si="9"/>
        <v>1849</v>
      </c>
    </row>
    <row r="89" spans="3:21" ht="15" thickBot="1" x14ac:dyDescent="0.35">
      <c r="C89">
        <f t="shared" si="5"/>
        <v>5589.4744102400509</v>
      </c>
      <c r="D89">
        <f t="shared" si="6"/>
        <v>4</v>
      </c>
      <c r="E89">
        <f t="shared" si="7"/>
        <v>16</v>
      </c>
      <c r="F89">
        <f t="shared" si="8"/>
        <v>37</v>
      </c>
      <c r="G89">
        <f t="shared" si="9"/>
        <v>1369</v>
      </c>
      <c r="I89" t="s">
        <v>30</v>
      </c>
    </row>
    <row r="90" spans="3:21" x14ac:dyDescent="0.3">
      <c r="C90">
        <f t="shared" si="5"/>
        <v>231.04126585488936</v>
      </c>
      <c r="D90">
        <f t="shared" si="6"/>
        <v>1</v>
      </c>
      <c r="E90">
        <f t="shared" si="7"/>
        <v>1</v>
      </c>
      <c r="F90">
        <f t="shared" si="8"/>
        <v>18</v>
      </c>
      <c r="G90">
        <f t="shared" si="9"/>
        <v>324</v>
      </c>
      <c r="I90" s="11"/>
      <c r="J90" s="11" t="s">
        <v>35</v>
      </c>
      <c r="K90" s="11" t="s">
        <v>36</v>
      </c>
      <c r="L90" s="11" t="s">
        <v>37</v>
      </c>
      <c r="M90" s="11" t="s">
        <v>38</v>
      </c>
      <c r="N90" s="11" t="s">
        <v>39</v>
      </c>
    </row>
    <row r="91" spans="3:21" x14ac:dyDescent="0.3">
      <c r="C91">
        <f t="shared" si="5"/>
        <v>961.15668885921855</v>
      </c>
      <c r="D91">
        <f t="shared" si="6"/>
        <v>3</v>
      </c>
      <c r="E91">
        <f t="shared" si="7"/>
        <v>9</v>
      </c>
      <c r="F91">
        <f t="shared" si="8"/>
        <v>63</v>
      </c>
      <c r="G91">
        <f t="shared" si="9"/>
        <v>3969</v>
      </c>
      <c r="I91" s="9" t="s">
        <v>31</v>
      </c>
      <c r="J91" s="9">
        <v>4</v>
      </c>
      <c r="K91" s="9">
        <v>16927317554.582363</v>
      </c>
      <c r="L91" s="9">
        <v>4231829388.6455908</v>
      </c>
      <c r="M91" s="9">
        <v>2.5239551716738173</v>
      </c>
      <c r="N91" s="9">
        <v>8.4643851625057803E-2</v>
      </c>
    </row>
    <row r="92" spans="3:21" x14ac:dyDescent="0.3">
      <c r="C92">
        <f t="shared" si="5"/>
        <v>1217.3202476539145</v>
      </c>
      <c r="D92">
        <f t="shared" si="6"/>
        <v>4</v>
      </c>
      <c r="E92">
        <f t="shared" si="7"/>
        <v>16</v>
      </c>
      <c r="F92">
        <f t="shared" si="8"/>
        <v>58</v>
      </c>
      <c r="G92">
        <f t="shared" si="9"/>
        <v>3364</v>
      </c>
      <c r="I92" s="9" t="s">
        <v>32</v>
      </c>
      <c r="J92" s="9">
        <v>15</v>
      </c>
      <c r="K92" s="9">
        <v>25149987425.326328</v>
      </c>
      <c r="L92" s="9">
        <v>1676665828.3550885</v>
      </c>
      <c r="M92" s="9"/>
      <c r="N92" s="9"/>
    </row>
    <row r="93" spans="3:21" ht="15" thickBot="1" x14ac:dyDescent="0.35">
      <c r="C93">
        <f t="shared" si="5"/>
        <v>11356.51314041648</v>
      </c>
      <c r="D93">
        <f t="shared" si="6"/>
        <v>1</v>
      </c>
      <c r="E93">
        <f t="shared" si="7"/>
        <v>1</v>
      </c>
      <c r="F93">
        <f t="shared" si="8"/>
        <v>30</v>
      </c>
      <c r="G93">
        <f t="shared" si="9"/>
        <v>900</v>
      </c>
      <c r="I93" s="10" t="s">
        <v>33</v>
      </c>
      <c r="J93" s="10">
        <v>19</v>
      </c>
      <c r="K93" s="10">
        <v>42077304979.908691</v>
      </c>
      <c r="L93" s="10"/>
      <c r="M93" s="10"/>
      <c r="N93" s="10"/>
    </row>
    <row r="94" spans="3:21" ht="15" thickBot="1" x14ac:dyDescent="0.35">
      <c r="C94">
        <f t="shared" si="5"/>
        <v>25247.553052002742</v>
      </c>
      <c r="D94">
        <f t="shared" si="6"/>
        <v>2</v>
      </c>
      <c r="E94">
        <f t="shared" si="7"/>
        <v>4</v>
      </c>
      <c r="F94">
        <f t="shared" si="8"/>
        <v>43</v>
      </c>
      <c r="G94">
        <f t="shared" si="9"/>
        <v>1849</v>
      </c>
    </row>
    <row r="95" spans="3:21" x14ac:dyDescent="0.3">
      <c r="C95">
        <f t="shared" si="5"/>
        <v>15329.512856967001</v>
      </c>
      <c r="D95">
        <f t="shared" si="6"/>
        <v>2</v>
      </c>
      <c r="E95">
        <f t="shared" si="7"/>
        <v>4</v>
      </c>
      <c r="F95">
        <f t="shared" si="8"/>
        <v>23</v>
      </c>
      <c r="G95">
        <f t="shared" si="9"/>
        <v>529</v>
      </c>
      <c r="I95" s="11"/>
      <c r="J95" s="11" t="s">
        <v>40</v>
      </c>
      <c r="K95" s="11" t="s">
        <v>28</v>
      </c>
      <c r="L95" s="11" t="s">
        <v>41</v>
      </c>
      <c r="M95" s="11" t="s">
        <v>42</v>
      </c>
      <c r="N95" s="11" t="s">
        <v>43</v>
      </c>
      <c r="O95" s="11" t="s">
        <v>44</v>
      </c>
      <c r="P95" s="11" t="s">
        <v>45</v>
      </c>
      <c r="Q95" s="11" t="s">
        <v>46</v>
      </c>
    </row>
    <row r="96" spans="3:21" x14ac:dyDescent="0.3">
      <c r="C96">
        <f t="shared" si="5"/>
        <v>2514.6159602963639</v>
      </c>
      <c r="D96">
        <f t="shared" si="6"/>
        <v>3</v>
      </c>
      <c r="E96">
        <f t="shared" si="7"/>
        <v>9</v>
      </c>
      <c r="F96">
        <f t="shared" si="8"/>
        <v>21</v>
      </c>
      <c r="G96">
        <f t="shared" si="9"/>
        <v>441</v>
      </c>
      <c r="I96" s="9" t="s">
        <v>34</v>
      </c>
      <c r="J96" s="9">
        <v>-26723.669190571614</v>
      </c>
      <c r="K96" s="9">
        <v>86225.092854679853</v>
      </c>
      <c r="L96" s="9">
        <v>-0.30992914366135349</v>
      </c>
      <c r="M96" s="9">
        <v>0.76087900818947529</v>
      </c>
      <c r="N96" s="9">
        <v>-210508.10417152831</v>
      </c>
      <c r="O96" s="9">
        <v>157060.76579038508</v>
      </c>
      <c r="P96" s="9">
        <v>-210508.10417152831</v>
      </c>
      <c r="Q96" s="9">
        <v>157060.76579038508</v>
      </c>
    </row>
    <row r="97" spans="3:17" x14ac:dyDescent="0.3">
      <c r="C97">
        <f t="shared" si="5"/>
        <v>95765.04917610297</v>
      </c>
      <c r="D97">
        <f t="shared" si="6"/>
        <v>6</v>
      </c>
      <c r="E97">
        <f t="shared" si="7"/>
        <v>36</v>
      </c>
      <c r="F97">
        <f>E18</f>
        <v>50</v>
      </c>
      <c r="G97">
        <f t="shared" si="9"/>
        <v>2500</v>
      </c>
      <c r="I97" s="9" t="s">
        <v>208</v>
      </c>
      <c r="J97" s="9">
        <v>23641.406044391868</v>
      </c>
      <c r="K97" s="9">
        <v>14258.051489090689</v>
      </c>
      <c r="L97" s="9">
        <v>1.6581091786967312</v>
      </c>
      <c r="M97" s="9">
        <v>0.11805514005603067</v>
      </c>
      <c r="N97" s="9">
        <v>-6748.9113225983419</v>
      </c>
      <c r="O97" s="9">
        <v>54031.723411382074</v>
      </c>
      <c r="P97" s="9">
        <v>-6748.9113225983419</v>
      </c>
      <c r="Q97" s="9">
        <v>54031.723411382074</v>
      </c>
    </row>
    <row r="98" spans="3:17" x14ac:dyDescent="0.3">
      <c r="C98">
        <f t="shared" si="5"/>
        <v>116832.22455651055</v>
      </c>
      <c r="D98">
        <f t="shared" si="6"/>
        <v>9</v>
      </c>
      <c r="E98">
        <f t="shared" si="7"/>
        <v>81</v>
      </c>
      <c r="F98">
        <f t="shared" si="8"/>
        <v>64</v>
      </c>
      <c r="G98">
        <f t="shared" si="9"/>
        <v>4096</v>
      </c>
      <c r="I98" s="9" t="s">
        <v>419</v>
      </c>
      <c r="J98" s="9">
        <v>-1785.5718739283316</v>
      </c>
      <c r="K98" s="9">
        <v>1223.770890760414</v>
      </c>
      <c r="L98" s="9">
        <v>-1.4590736610991226</v>
      </c>
      <c r="M98" s="9">
        <v>0.16516770538941108</v>
      </c>
      <c r="N98" s="9">
        <v>-4393.9777829088962</v>
      </c>
      <c r="O98" s="9">
        <v>822.83403505223305</v>
      </c>
      <c r="P98" s="9">
        <v>-4393.9777829088962</v>
      </c>
      <c r="Q98" s="9">
        <v>822.83403505223305</v>
      </c>
    </row>
    <row r="99" spans="3:17" x14ac:dyDescent="0.3">
      <c r="C99">
        <f t="shared" si="5"/>
        <v>1299.0422867109853</v>
      </c>
      <c r="D99">
        <f t="shared" si="6"/>
        <v>1</v>
      </c>
      <c r="E99">
        <f t="shared" si="7"/>
        <v>1</v>
      </c>
      <c r="F99">
        <f t="shared" si="8"/>
        <v>36</v>
      </c>
      <c r="G99">
        <f t="shared" si="9"/>
        <v>1296</v>
      </c>
      <c r="I99" s="9" t="s">
        <v>209</v>
      </c>
      <c r="J99" s="9">
        <v>-894.09073179430391</v>
      </c>
      <c r="K99" s="9">
        <v>4251.5799438718068</v>
      </c>
      <c r="L99" s="9">
        <v>-0.21029611193905434</v>
      </c>
      <c r="M99" s="9">
        <v>0.83626646814198913</v>
      </c>
      <c r="N99" s="9">
        <v>-9956.1188710709157</v>
      </c>
      <c r="O99" s="9">
        <v>8167.9374074823081</v>
      </c>
      <c r="P99" s="9">
        <v>-9956.1188710709157</v>
      </c>
      <c r="Q99" s="9">
        <v>8167.9374074823081</v>
      </c>
    </row>
    <row r="100" spans="3:17" ht="15" thickBot="1" x14ac:dyDescent="0.35">
      <c r="C100">
        <f t="shared" si="5"/>
        <v>172710.52687250718</v>
      </c>
      <c r="D100">
        <f t="shared" si="6"/>
        <v>7</v>
      </c>
      <c r="E100">
        <f t="shared" si="7"/>
        <v>49</v>
      </c>
      <c r="F100">
        <f t="shared" si="8"/>
        <v>58</v>
      </c>
      <c r="G100">
        <f t="shared" si="9"/>
        <v>3364</v>
      </c>
      <c r="I100" s="10" t="s">
        <v>420</v>
      </c>
      <c r="J100" s="10">
        <v>22.706864583499001</v>
      </c>
      <c r="K100" s="10">
        <v>51.33542952953799</v>
      </c>
      <c r="L100" s="10">
        <v>0.4423234555860423</v>
      </c>
      <c r="M100" s="10">
        <v>0.66456637003572383</v>
      </c>
      <c r="N100" s="10">
        <v>-86.712013358350561</v>
      </c>
      <c r="O100" s="10">
        <v>132.12574252534856</v>
      </c>
      <c r="P100" s="10">
        <v>-86.712013358350561</v>
      </c>
      <c r="Q100" s="10">
        <v>132.12574252534856</v>
      </c>
    </row>
    <row r="101" spans="3:17" x14ac:dyDescent="0.3">
      <c r="C101">
        <f t="shared" si="5"/>
        <v>2299.6411439694743</v>
      </c>
      <c r="D101">
        <f t="shared" si="6"/>
        <v>2</v>
      </c>
      <c r="E101">
        <f t="shared" si="7"/>
        <v>4</v>
      </c>
      <c r="F101">
        <f t="shared" si="8"/>
        <v>35</v>
      </c>
      <c r="G101">
        <f t="shared" si="9"/>
        <v>1225</v>
      </c>
    </row>
    <row r="102" spans="3:17" x14ac:dyDescent="0.3">
      <c r="C102">
        <f>E74^2</f>
        <v>34368.172361432444</v>
      </c>
      <c r="D102">
        <f t="shared" si="6"/>
        <v>2</v>
      </c>
      <c r="E102">
        <f t="shared" si="7"/>
        <v>4</v>
      </c>
      <c r="F102">
        <f t="shared" si="8"/>
        <v>41</v>
      </c>
      <c r="G102">
        <f t="shared" si="9"/>
        <v>1681</v>
      </c>
      <c r="I102" t="s">
        <v>421</v>
      </c>
    </row>
    <row r="106" spans="3:17" ht="27.6" customHeight="1" x14ac:dyDescent="0.3">
      <c r="C106" s="186" t="s">
        <v>422</v>
      </c>
      <c r="D106" s="186"/>
      <c r="E106" s="186"/>
      <c r="F106" s="186"/>
      <c r="G106" s="186"/>
    </row>
    <row r="108" spans="3:17" x14ac:dyDescent="0.3">
      <c r="C108" t="s">
        <v>306</v>
      </c>
      <c r="D108" t="s">
        <v>307</v>
      </c>
      <c r="E108" t="s">
        <v>308</v>
      </c>
      <c r="F108" t="s">
        <v>423</v>
      </c>
      <c r="G108" t="s">
        <v>424</v>
      </c>
    </row>
    <row r="109" spans="3:17" x14ac:dyDescent="0.3">
      <c r="C109">
        <f>MAX(E55:E74)-MIN(E55:E74)</f>
        <v>757.39185198532232</v>
      </c>
      <c r="D109">
        <f>SQRT(SUMSQ(E55:E74) / (20-1))</f>
        <v>163.6410646205336</v>
      </c>
      <c r="E109">
        <f>C109/D109</f>
        <v>4.6283727971437632</v>
      </c>
      <c r="F109">
        <f>3.18</f>
        <v>3.18</v>
      </c>
      <c r="G109">
        <v>4.49</v>
      </c>
    </row>
    <row r="111" spans="3:17" x14ac:dyDescent="0.3">
      <c r="C111" t="s">
        <v>425</v>
      </c>
    </row>
    <row r="116" spans="3:7" ht="36" customHeight="1" x14ac:dyDescent="0.3">
      <c r="C116" s="186" t="s">
        <v>426</v>
      </c>
      <c r="D116" s="186"/>
      <c r="E116" s="186"/>
      <c r="F116" s="186"/>
      <c r="G116" s="186"/>
    </row>
    <row r="119" spans="3:7" ht="23.4" customHeight="1" x14ac:dyDescent="0.3">
      <c r="C119" s="123" t="s">
        <v>407</v>
      </c>
      <c r="D119" s="123" t="s">
        <v>408</v>
      </c>
      <c r="E119" s="123" t="s">
        <v>409</v>
      </c>
      <c r="F119" s="123" t="s">
        <v>410</v>
      </c>
    </row>
    <row r="120" spans="3:7" x14ac:dyDescent="0.3">
      <c r="C120" s="121">
        <v>1250</v>
      </c>
      <c r="D120" s="121">
        <v>1</v>
      </c>
      <c r="E120" s="121">
        <v>28</v>
      </c>
      <c r="F120" s="121">
        <v>0</v>
      </c>
    </row>
    <row r="121" spans="3:7" x14ac:dyDescent="0.3">
      <c r="C121" s="121">
        <v>1350</v>
      </c>
      <c r="D121" s="121">
        <v>3</v>
      </c>
      <c r="E121" s="121">
        <v>24</v>
      </c>
      <c r="F121" s="121">
        <v>0</v>
      </c>
    </row>
    <row r="122" spans="3:7" x14ac:dyDescent="0.3">
      <c r="C122" s="121">
        <v>1550</v>
      </c>
      <c r="D122" s="121">
        <v>4</v>
      </c>
      <c r="E122" s="121">
        <v>37</v>
      </c>
      <c r="F122" s="121">
        <v>0</v>
      </c>
    </row>
    <row r="123" spans="3:7" x14ac:dyDescent="0.3">
      <c r="C123" s="121">
        <v>1700</v>
      </c>
      <c r="D123" s="121">
        <v>3</v>
      </c>
      <c r="E123" s="121">
        <v>63</v>
      </c>
      <c r="F123" s="121">
        <v>0</v>
      </c>
    </row>
    <row r="124" spans="3:7" x14ac:dyDescent="0.3">
      <c r="C124" s="121">
        <v>1350</v>
      </c>
      <c r="D124" s="121">
        <v>1</v>
      </c>
      <c r="E124" s="121">
        <v>30</v>
      </c>
      <c r="F124" s="121">
        <v>0</v>
      </c>
    </row>
    <row r="125" spans="3:7" x14ac:dyDescent="0.3">
      <c r="C125" s="121">
        <v>1700</v>
      </c>
      <c r="D125" s="121">
        <v>9</v>
      </c>
      <c r="E125" s="121">
        <v>64</v>
      </c>
      <c r="F125" s="121">
        <v>0</v>
      </c>
    </row>
    <row r="126" spans="3:7" x14ac:dyDescent="0.3">
      <c r="C126" s="121">
        <v>1350</v>
      </c>
      <c r="D126" s="121">
        <v>1</v>
      </c>
      <c r="E126" s="121">
        <v>36</v>
      </c>
      <c r="F126" s="121">
        <v>0</v>
      </c>
    </row>
    <row r="127" spans="3:7" x14ac:dyDescent="0.3">
      <c r="C127" s="121">
        <v>1400</v>
      </c>
      <c r="D127" s="121">
        <v>2</v>
      </c>
      <c r="E127" s="121">
        <v>35</v>
      </c>
      <c r="F127" s="121">
        <v>0</v>
      </c>
    </row>
    <row r="128" spans="3:7" x14ac:dyDescent="0.3">
      <c r="C128" s="122">
        <v>1950</v>
      </c>
      <c r="D128" s="122">
        <v>9</v>
      </c>
      <c r="E128" s="122">
        <v>34</v>
      </c>
      <c r="F128" s="122">
        <v>1</v>
      </c>
    </row>
    <row r="129" spans="3:13" x14ac:dyDescent="0.3">
      <c r="C129" s="122">
        <v>2300</v>
      </c>
      <c r="D129" s="122">
        <v>11</v>
      </c>
      <c r="E129" s="122">
        <v>55</v>
      </c>
      <c r="F129" s="122">
        <v>1</v>
      </c>
    </row>
    <row r="130" spans="3:13" x14ac:dyDescent="0.3">
      <c r="C130" s="122">
        <v>1650</v>
      </c>
      <c r="D130" s="122">
        <v>2</v>
      </c>
      <c r="E130" s="122">
        <v>42</v>
      </c>
      <c r="F130" s="122">
        <v>1</v>
      </c>
    </row>
    <row r="131" spans="3:13" x14ac:dyDescent="0.3">
      <c r="C131" s="122">
        <v>1750</v>
      </c>
      <c r="D131" s="122">
        <v>1</v>
      </c>
      <c r="E131" s="122">
        <v>43</v>
      </c>
      <c r="F131" s="122">
        <v>1</v>
      </c>
    </row>
    <row r="132" spans="3:13" x14ac:dyDescent="0.3">
      <c r="C132" s="122">
        <v>1400</v>
      </c>
      <c r="D132" s="122">
        <v>1</v>
      </c>
      <c r="E132" s="122">
        <v>18</v>
      </c>
      <c r="F132" s="122">
        <v>1</v>
      </c>
    </row>
    <row r="133" spans="3:13" x14ac:dyDescent="0.3">
      <c r="C133" s="122">
        <v>2000</v>
      </c>
      <c r="D133" s="122">
        <v>4</v>
      </c>
      <c r="E133" s="122">
        <v>58</v>
      </c>
      <c r="F133" s="122">
        <v>1</v>
      </c>
    </row>
    <row r="134" spans="3:13" x14ac:dyDescent="0.3">
      <c r="C134" s="122">
        <v>1600</v>
      </c>
      <c r="D134" s="122">
        <v>2</v>
      </c>
      <c r="E134" s="122">
        <v>43</v>
      </c>
      <c r="F134" s="122">
        <v>1</v>
      </c>
    </row>
    <row r="135" spans="3:13" x14ac:dyDescent="0.3">
      <c r="C135" s="122">
        <v>1400</v>
      </c>
      <c r="D135" s="122">
        <v>2</v>
      </c>
      <c r="E135" s="122">
        <v>23</v>
      </c>
      <c r="F135" s="122">
        <v>1</v>
      </c>
    </row>
    <row r="136" spans="3:13" x14ac:dyDescent="0.3">
      <c r="C136" s="122">
        <v>1500</v>
      </c>
      <c r="D136" s="122">
        <v>3</v>
      </c>
      <c r="E136" s="122">
        <v>21</v>
      </c>
      <c r="F136" s="122">
        <v>1</v>
      </c>
    </row>
    <row r="137" spans="3:13" x14ac:dyDescent="0.3">
      <c r="C137" s="122">
        <v>2350</v>
      </c>
      <c r="D137" s="122">
        <v>6</v>
      </c>
      <c r="E137" s="122">
        <v>50</v>
      </c>
      <c r="F137" s="122">
        <v>1</v>
      </c>
    </row>
    <row r="138" spans="3:13" x14ac:dyDescent="0.3">
      <c r="C138" s="122">
        <v>2600</v>
      </c>
      <c r="D138" s="122">
        <v>7</v>
      </c>
      <c r="E138" s="122">
        <v>58</v>
      </c>
      <c r="F138" s="122">
        <v>1</v>
      </c>
    </row>
    <row r="139" spans="3:13" x14ac:dyDescent="0.3">
      <c r="C139" s="122">
        <v>1550</v>
      </c>
      <c r="D139" s="122">
        <v>2</v>
      </c>
      <c r="E139" s="122">
        <v>41</v>
      </c>
      <c r="F139" s="122">
        <v>1</v>
      </c>
    </row>
    <row r="143" spans="3:13" x14ac:dyDescent="0.3">
      <c r="C143" s="43" t="s">
        <v>427</v>
      </c>
      <c r="M143" s="43" t="s">
        <v>428</v>
      </c>
    </row>
    <row r="145" spans="3:18" x14ac:dyDescent="0.3">
      <c r="C145" t="s">
        <v>23</v>
      </c>
    </row>
    <row r="146" spans="3:18" ht="15" thickBot="1" x14ac:dyDescent="0.35">
      <c r="M146" t="s">
        <v>23</v>
      </c>
    </row>
    <row r="147" spans="3:18" ht="15" thickBot="1" x14ac:dyDescent="0.35">
      <c r="C147" s="12" t="s">
        <v>24</v>
      </c>
      <c r="D147" s="12"/>
    </row>
    <row r="148" spans="3:18" x14ac:dyDescent="0.3">
      <c r="C148" s="9" t="s">
        <v>25</v>
      </c>
      <c r="D148" s="9">
        <v>0.94056931064349336</v>
      </c>
      <c r="M148" s="12" t="s">
        <v>24</v>
      </c>
      <c r="N148" s="12"/>
    </row>
    <row r="149" spans="3:18" x14ac:dyDescent="0.3">
      <c r="C149" s="9" t="s">
        <v>26</v>
      </c>
      <c r="D149" s="9">
        <v>0.88467062812437636</v>
      </c>
      <c r="M149" s="9" t="s">
        <v>25</v>
      </c>
      <c r="N149" s="9">
        <v>0.91637881268951893</v>
      </c>
    </row>
    <row r="150" spans="3:18" x14ac:dyDescent="0.3">
      <c r="C150" s="9" t="s">
        <v>27</v>
      </c>
      <c r="D150" s="9">
        <v>0.83853887937412686</v>
      </c>
      <c r="M150" s="9" t="s">
        <v>26</v>
      </c>
      <c r="N150" s="9">
        <v>0.83975012834625251</v>
      </c>
    </row>
    <row r="151" spans="3:18" x14ac:dyDescent="0.3">
      <c r="C151" s="9" t="s">
        <v>28</v>
      </c>
      <c r="D151" s="9">
        <v>69.13002854835338</v>
      </c>
      <c r="M151" s="9" t="s">
        <v>27</v>
      </c>
      <c r="N151" s="9">
        <v>0.80413904575653083</v>
      </c>
    </row>
    <row r="152" spans="3:18" ht="15" thickBot="1" x14ac:dyDescent="0.35">
      <c r="C152" s="10" t="s">
        <v>29</v>
      </c>
      <c r="D152" s="10">
        <v>8</v>
      </c>
      <c r="M152" s="9" t="s">
        <v>28</v>
      </c>
      <c r="N152" s="9">
        <v>177.80878567069533</v>
      </c>
    </row>
    <row r="153" spans="3:18" ht="15" thickBot="1" x14ac:dyDescent="0.35">
      <c r="M153" s="10" t="s">
        <v>29</v>
      </c>
      <c r="N153" s="10">
        <v>12</v>
      </c>
    </row>
    <row r="154" spans="3:18" ht="15" thickBot="1" x14ac:dyDescent="0.35">
      <c r="C154" t="s">
        <v>30</v>
      </c>
    </row>
    <row r="155" spans="3:18" ht="15" thickBot="1" x14ac:dyDescent="0.35">
      <c r="C155" s="11"/>
      <c r="D155" s="11" t="s">
        <v>35</v>
      </c>
      <c r="E155" s="11" t="s">
        <v>36</v>
      </c>
      <c r="F155" s="11" t="s">
        <v>37</v>
      </c>
      <c r="G155" s="11" t="s">
        <v>38</v>
      </c>
      <c r="H155" s="11" t="s">
        <v>39</v>
      </c>
      <c r="M155" t="s">
        <v>30</v>
      </c>
    </row>
    <row r="156" spans="3:18" x14ac:dyDescent="0.3">
      <c r="C156" s="9" t="s">
        <v>31</v>
      </c>
      <c r="D156" s="9">
        <v>2</v>
      </c>
      <c r="E156" s="9">
        <v>183292.69576451922</v>
      </c>
      <c r="F156" s="9">
        <v>91646.347882259608</v>
      </c>
      <c r="G156" s="9">
        <v>19.177045138996441</v>
      </c>
      <c r="H156" s="9">
        <v>4.5169971525092327E-3</v>
      </c>
      <c r="M156" s="11"/>
      <c r="N156" s="11" t="s">
        <v>35</v>
      </c>
      <c r="O156" s="11" t="s">
        <v>36</v>
      </c>
      <c r="P156" s="11" t="s">
        <v>37</v>
      </c>
      <c r="Q156" s="11" t="s">
        <v>38</v>
      </c>
      <c r="R156" s="11" t="s">
        <v>39</v>
      </c>
    </row>
    <row r="157" spans="3:18" x14ac:dyDescent="0.3">
      <c r="C157" s="9" t="s">
        <v>32</v>
      </c>
      <c r="D157" s="9">
        <v>5</v>
      </c>
      <c r="E157" s="9">
        <v>23894.804235480769</v>
      </c>
      <c r="F157" s="9">
        <v>4778.9608470961539</v>
      </c>
      <c r="G157" s="9"/>
      <c r="H157" s="9"/>
      <c r="M157" s="9" t="s">
        <v>31</v>
      </c>
      <c r="N157" s="9">
        <v>2</v>
      </c>
      <c r="O157" s="9">
        <v>1491081.3216448147</v>
      </c>
      <c r="P157" s="9">
        <v>745540.66082240734</v>
      </c>
      <c r="Q157" s="9">
        <v>23.581145735474703</v>
      </c>
      <c r="R157" s="9">
        <v>2.6399129511139283E-4</v>
      </c>
    </row>
    <row r="158" spans="3:18" ht="15" thickBot="1" x14ac:dyDescent="0.35">
      <c r="C158" s="10" t="s">
        <v>33</v>
      </c>
      <c r="D158" s="10">
        <v>7</v>
      </c>
      <c r="E158" s="10">
        <v>207187.5</v>
      </c>
      <c r="F158" s="10"/>
      <c r="G158" s="10"/>
      <c r="H158" s="10"/>
      <c r="M158" s="9" t="s">
        <v>32</v>
      </c>
      <c r="N158" s="9">
        <v>9</v>
      </c>
      <c r="O158" s="9">
        <v>284543.67835518543</v>
      </c>
      <c r="P158" s="9">
        <v>31615.96426168727</v>
      </c>
      <c r="Q158" s="9"/>
      <c r="R158" s="9"/>
    </row>
    <row r="159" spans="3:18" ht="15" thickBot="1" x14ac:dyDescent="0.35">
      <c r="M159" s="10" t="s">
        <v>33</v>
      </c>
      <c r="N159" s="10">
        <v>11</v>
      </c>
      <c r="O159" s="10">
        <v>1775625</v>
      </c>
      <c r="P159" s="10"/>
      <c r="Q159" s="10"/>
      <c r="R159" s="10"/>
    </row>
    <row r="160" spans="3:18" ht="15" thickBot="1" x14ac:dyDescent="0.35">
      <c r="C160" s="11"/>
      <c r="D160" s="11" t="s">
        <v>40</v>
      </c>
      <c r="E160" s="11" t="s">
        <v>28</v>
      </c>
      <c r="F160" s="11" t="s">
        <v>41</v>
      </c>
      <c r="G160" s="11" t="s">
        <v>42</v>
      </c>
      <c r="H160" s="11" t="s">
        <v>43</v>
      </c>
      <c r="I160" s="11" t="s">
        <v>44</v>
      </c>
      <c r="J160" s="11" t="s">
        <v>45</v>
      </c>
      <c r="K160" s="11" t="s">
        <v>46</v>
      </c>
    </row>
    <row r="161" spans="3:21" x14ac:dyDescent="0.3">
      <c r="C161" s="9" t="s">
        <v>34</v>
      </c>
      <c r="D161" s="9">
        <v>1072.6681286969917</v>
      </c>
      <c r="E161" s="9">
        <v>75.412557244485342</v>
      </c>
      <c r="F161" s="9">
        <v>14.223998865592536</v>
      </c>
      <c r="G161" s="9">
        <v>3.0936226806774178E-5</v>
      </c>
      <c r="H161" s="9">
        <v>878.81397886543391</v>
      </c>
      <c r="I161" s="9">
        <v>1266.5222785285496</v>
      </c>
      <c r="J161" s="9">
        <v>878.81397886543391</v>
      </c>
      <c r="K161" s="9">
        <v>1266.5222785285496</v>
      </c>
      <c r="M161" s="11"/>
      <c r="N161" s="11" t="s">
        <v>40</v>
      </c>
      <c r="O161" s="11" t="s">
        <v>28</v>
      </c>
      <c r="P161" s="11" t="s">
        <v>41</v>
      </c>
      <c r="Q161" s="11" t="s">
        <v>42</v>
      </c>
      <c r="R161" s="11" t="s">
        <v>43</v>
      </c>
      <c r="S161" s="11" t="s">
        <v>44</v>
      </c>
      <c r="T161" s="11" t="s">
        <v>45</v>
      </c>
      <c r="U161" s="11" t="s">
        <v>46</v>
      </c>
    </row>
    <row r="162" spans="3:21" x14ac:dyDescent="0.3">
      <c r="C162" s="9" t="s">
        <v>408</v>
      </c>
      <c r="D162" s="9">
        <v>15.233043418276704</v>
      </c>
      <c r="E162" s="9">
        <v>13.481078012508283</v>
      </c>
      <c r="F162" s="9">
        <v>1.1299573672181764</v>
      </c>
      <c r="G162" s="9">
        <v>0.3097674081541068</v>
      </c>
      <c r="H162" s="9">
        <v>-19.421170845473203</v>
      </c>
      <c r="I162" s="9">
        <v>49.887257682026615</v>
      </c>
      <c r="J162" s="9">
        <v>-19.421170845473203</v>
      </c>
      <c r="K162" s="9">
        <v>49.887257682026615</v>
      </c>
      <c r="M162" s="9" t="s">
        <v>34</v>
      </c>
      <c r="N162" s="9">
        <v>930.1539237795397</v>
      </c>
      <c r="O162" s="9">
        <v>163.32453008942494</v>
      </c>
      <c r="P162" s="9">
        <v>5.6951268941061901</v>
      </c>
      <c r="Q162" s="9">
        <v>2.9613086596411283E-4</v>
      </c>
      <c r="R162" s="9">
        <v>560.68816817709603</v>
      </c>
      <c r="S162" s="9">
        <v>1299.6196793819834</v>
      </c>
      <c r="T162" s="9">
        <v>560.68816817709603</v>
      </c>
      <c r="U162" s="9">
        <v>1299.6196793819834</v>
      </c>
    </row>
    <row r="163" spans="3:21" ht="15" thickBot="1" x14ac:dyDescent="0.35">
      <c r="C163" s="10" t="s">
        <v>409</v>
      </c>
      <c r="D163" s="10">
        <v>8.52700923780891</v>
      </c>
      <c r="E163" s="10">
        <v>2.3440036457642695</v>
      </c>
      <c r="F163" s="10">
        <v>3.6377969177725631</v>
      </c>
      <c r="G163" s="10">
        <v>1.4937925998520127E-2</v>
      </c>
      <c r="H163" s="10">
        <v>2.5015560433419797</v>
      </c>
      <c r="I163" s="10">
        <v>14.55246243227584</v>
      </c>
      <c r="J163" s="10">
        <v>2.5015560433419797</v>
      </c>
      <c r="K163" s="10">
        <v>14.55246243227584</v>
      </c>
      <c r="M163" s="9" t="s">
        <v>249</v>
      </c>
      <c r="N163" s="9">
        <v>60.334494618774336</v>
      </c>
      <c r="O163" s="9">
        <v>18.370003676122877</v>
      </c>
      <c r="P163" s="9">
        <v>3.284402969238184</v>
      </c>
      <c r="Q163" s="9">
        <v>9.4625103591237415E-3</v>
      </c>
      <c r="R163" s="9">
        <v>18.778659222203608</v>
      </c>
      <c r="S163" s="9">
        <v>101.89033001534506</v>
      </c>
      <c r="T163" s="9">
        <v>18.778659222203608</v>
      </c>
      <c r="U163" s="9">
        <v>101.89033001534506</v>
      </c>
    </row>
    <row r="164" spans="3:21" ht="15" thickBot="1" x14ac:dyDescent="0.35">
      <c r="M164" s="10" t="s">
        <v>273</v>
      </c>
      <c r="N164" s="10">
        <v>16.196354287462565</v>
      </c>
      <c r="O164" s="10">
        <v>4.3567916170276666</v>
      </c>
      <c r="P164" s="10">
        <v>3.7174957425464847</v>
      </c>
      <c r="Q164" s="10">
        <v>4.7891321004235104E-3</v>
      </c>
      <c r="R164" s="10">
        <v>6.3406069241842538</v>
      </c>
      <c r="S164" s="10">
        <v>26.052101650740877</v>
      </c>
      <c r="T164" s="10">
        <v>6.3406069241842538</v>
      </c>
      <c r="U164" s="10">
        <v>26.052101650740877</v>
      </c>
    </row>
    <row r="168" spans="3:21" ht="16.8" x14ac:dyDescent="0.35">
      <c r="C168" t="s">
        <v>429</v>
      </c>
      <c r="D168">
        <f>E41</f>
        <v>508789.56257269147</v>
      </c>
    </row>
    <row r="169" spans="3:21" ht="16.8" x14ac:dyDescent="0.35">
      <c r="C169" t="s">
        <v>430</v>
      </c>
      <c r="D169">
        <f>E157</f>
        <v>23894.804235480769</v>
      </c>
    </row>
    <row r="170" spans="3:21" ht="16.8" x14ac:dyDescent="0.35">
      <c r="C170" t="s">
        <v>431</v>
      </c>
      <c r="D170">
        <f>O158</f>
        <v>284543.67835518543</v>
      </c>
    </row>
    <row r="171" spans="3:21" x14ac:dyDescent="0.3">
      <c r="C171" t="s">
        <v>432</v>
      </c>
      <c r="D171">
        <v>4</v>
      </c>
    </row>
    <row r="172" spans="3:21" x14ac:dyDescent="0.3">
      <c r="C172" t="s">
        <v>433</v>
      </c>
      <c r="D172">
        <v>2</v>
      </c>
    </row>
    <row r="173" spans="3:21" x14ac:dyDescent="0.3">
      <c r="C173" t="s">
        <v>434</v>
      </c>
      <c r="D173">
        <v>2</v>
      </c>
    </row>
    <row r="174" spans="3:21" x14ac:dyDescent="0.3">
      <c r="C174" t="s">
        <v>196</v>
      </c>
      <c r="D174">
        <f>((D168 - (D169+D170)) / (D169+D170)) * ((20 - D172 - D173 - 2) / D171)</f>
        <v>2.2734801897845562</v>
      </c>
    </row>
    <row r="175" spans="3:21" x14ac:dyDescent="0.3">
      <c r="C175" t="s">
        <v>197</v>
      </c>
      <c r="D175">
        <f>_xlfn.F.INV.RT(0.05, D171,20-D172-D173-2)</f>
        <v>3.1122498479613889</v>
      </c>
    </row>
    <row r="176" spans="3:21" x14ac:dyDescent="0.3">
      <c r="C176" t="s">
        <v>435</v>
      </c>
    </row>
    <row r="189" spans="3:4" x14ac:dyDescent="0.3">
      <c r="C189" t="s">
        <v>23</v>
      </c>
    </row>
    <row r="190" spans="3:4" ht="15" thickBot="1" x14ac:dyDescent="0.35"/>
    <row r="191" spans="3:4" x14ac:dyDescent="0.3">
      <c r="C191" s="12" t="s">
        <v>24</v>
      </c>
      <c r="D191" s="12"/>
    </row>
    <row r="192" spans="3:4" x14ac:dyDescent="0.3">
      <c r="C192" s="9" t="s">
        <v>25</v>
      </c>
      <c r="D192" s="9">
        <v>0.80169608664368963</v>
      </c>
    </row>
    <row r="193" spans="3:11" x14ac:dyDescent="0.3">
      <c r="C193" s="9" t="s">
        <v>26</v>
      </c>
      <c r="D193" s="9">
        <v>0.6427166153398064</v>
      </c>
    </row>
    <row r="194" spans="3:11" x14ac:dyDescent="0.3">
      <c r="C194" s="9" t="s">
        <v>27</v>
      </c>
      <c r="D194" s="9">
        <v>0.60068327596801896</v>
      </c>
    </row>
    <row r="195" spans="3:11" x14ac:dyDescent="0.3">
      <c r="C195" s="9" t="s">
        <v>28</v>
      </c>
      <c r="D195" s="9">
        <v>237.35033830403142</v>
      </c>
    </row>
    <row r="196" spans="3:11" ht="15" thickBot="1" x14ac:dyDescent="0.35">
      <c r="C196" s="10" t="s">
        <v>29</v>
      </c>
      <c r="D196" s="10">
        <v>20</v>
      </c>
    </row>
    <row r="198" spans="3:11" ht="15" thickBot="1" x14ac:dyDescent="0.35">
      <c r="C198" t="s">
        <v>30</v>
      </c>
    </row>
    <row r="199" spans="3:11" x14ac:dyDescent="0.3">
      <c r="C199" s="11"/>
      <c r="D199" s="11" t="s">
        <v>35</v>
      </c>
      <c r="E199" s="11" t="s">
        <v>36</v>
      </c>
      <c r="F199" s="11" t="s">
        <v>37</v>
      </c>
      <c r="G199" s="11" t="s">
        <v>38</v>
      </c>
      <c r="H199" s="11" t="s">
        <v>39</v>
      </c>
    </row>
    <row r="200" spans="3:11" x14ac:dyDescent="0.3">
      <c r="C200" s="9" t="s">
        <v>31</v>
      </c>
      <c r="D200" s="9">
        <v>2</v>
      </c>
      <c r="E200" s="9">
        <v>1722801.8874183511</v>
      </c>
      <c r="F200" s="9">
        <v>861400.94370917557</v>
      </c>
      <c r="G200" s="9">
        <v>15.290638929611051</v>
      </c>
      <c r="H200" s="9">
        <v>1.5871170955196061E-4</v>
      </c>
    </row>
    <row r="201" spans="3:11" x14ac:dyDescent="0.3">
      <c r="C201" s="9" t="s">
        <v>32</v>
      </c>
      <c r="D201" s="9">
        <v>17</v>
      </c>
      <c r="E201" s="9">
        <v>957698.11258164875</v>
      </c>
      <c r="F201" s="9">
        <v>56335.183093038162</v>
      </c>
      <c r="G201" s="9"/>
      <c r="H201" s="9"/>
    </row>
    <row r="202" spans="3:11" ht="15" thickBot="1" x14ac:dyDescent="0.35">
      <c r="C202" s="10" t="s">
        <v>33</v>
      </c>
      <c r="D202" s="10">
        <v>19</v>
      </c>
      <c r="E202" s="10">
        <v>2680500</v>
      </c>
      <c r="F202" s="10"/>
      <c r="G202" s="10"/>
      <c r="H202" s="10"/>
    </row>
    <row r="203" spans="3:11" ht="15" thickBot="1" x14ac:dyDescent="0.35"/>
    <row r="204" spans="3:11" x14ac:dyDescent="0.3">
      <c r="C204" s="11"/>
      <c r="D204" s="11" t="s">
        <v>40</v>
      </c>
      <c r="E204" s="11" t="s">
        <v>28</v>
      </c>
      <c r="F204" s="11" t="s">
        <v>41</v>
      </c>
      <c r="G204" s="11" t="s">
        <v>42</v>
      </c>
      <c r="H204" s="11" t="s">
        <v>43</v>
      </c>
      <c r="I204" s="11" t="s">
        <v>44</v>
      </c>
      <c r="J204" s="11" t="s">
        <v>45</v>
      </c>
      <c r="K204" s="11" t="s">
        <v>46</v>
      </c>
    </row>
    <row r="205" spans="3:11" x14ac:dyDescent="0.3">
      <c r="C205" s="9" t="s">
        <v>34</v>
      </c>
      <c r="D205" s="9">
        <v>1027.8058203570627</v>
      </c>
      <c r="E205" s="9">
        <v>164.47308983566001</v>
      </c>
      <c r="F205" s="9">
        <v>6.2490819706982874</v>
      </c>
      <c r="G205" s="9">
        <v>8.8140757961074774E-6</v>
      </c>
      <c r="H205" s="9">
        <v>680.79793328740857</v>
      </c>
      <c r="I205" s="9">
        <v>1374.8137074267167</v>
      </c>
      <c r="J205" s="9">
        <v>680.79793328740857</v>
      </c>
      <c r="K205" s="9">
        <v>1374.8137074267167</v>
      </c>
    </row>
    <row r="206" spans="3:11" x14ac:dyDescent="0.3">
      <c r="C206" s="9" t="s">
        <v>408</v>
      </c>
      <c r="D206" s="9">
        <v>62.57454453352603</v>
      </c>
      <c r="E206" s="9">
        <v>21.190645760771726</v>
      </c>
      <c r="F206" s="9">
        <v>2.9529324042292506</v>
      </c>
      <c r="G206" s="9">
        <v>8.903728756124045E-3</v>
      </c>
      <c r="H206" s="9">
        <v>17.866190003102304</v>
      </c>
      <c r="I206" s="9">
        <v>107.28289906394976</v>
      </c>
      <c r="J206" s="9">
        <v>17.866190003102304</v>
      </c>
      <c r="K206" s="9">
        <v>107.28289906394976</v>
      </c>
    </row>
    <row r="207" spans="3:11" ht="15" thickBot="1" x14ac:dyDescent="0.35">
      <c r="C207" s="10" t="s">
        <v>409</v>
      </c>
      <c r="D207" s="10">
        <v>10.601951802463043</v>
      </c>
      <c r="E207" s="10">
        <v>4.5765171853987514</v>
      </c>
      <c r="F207" s="10">
        <v>2.3165982717793066</v>
      </c>
      <c r="G207" s="10">
        <v>3.326505596594282E-2</v>
      </c>
      <c r="H207" s="10">
        <v>0.94634455248687033</v>
      </c>
      <c r="I207" s="10">
        <v>20.257559052439216</v>
      </c>
      <c r="J207" s="10">
        <v>0.94634455248687033</v>
      </c>
      <c r="K207" s="10">
        <v>20.257559052439216</v>
      </c>
    </row>
  </sheetData>
  <sortState xmlns:xlrd2="http://schemas.microsoft.com/office/spreadsheetml/2017/richdata2" ref="C120:F139">
    <sortCondition ref="F120:F139"/>
  </sortState>
  <mergeCells count="6">
    <mergeCell ref="X27:AC27"/>
    <mergeCell ref="C80:G80"/>
    <mergeCell ref="C106:G106"/>
    <mergeCell ref="C116:G116"/>
    <mergeCell ref="C27:D27"/>
    <mergeCell ref="M27:O27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44686-BA0A-4ACD-8D5C-04C60A31FC6E}">
  <sheetPr>
    <tabColor theme="5" tint="0.79998168889431442"/>
  </sheetPr>
  <dimension ref="B4:U36"/>
  <sheetViews>
    <sheetView topLeftCell="A16" zoomScale="95" zoomScaleNormal="209" workbookViewId="0">
      <selection activeCell="E27" sqref="E27"/>
    </sheetView>
  </sheetViews>
  <sheetFormatPr defaultRowHeight="14.4" x14ac:dyDescent="0.3"/>
  <cols>
    <col min="2" max="2" width="33.5546875" customWidth="1"/>
    <col min="3" max="3" width="19.44140625" customWidth="1"/>
    <col min="5" max="5" width="25.77734375" bestFit="1" customWidth="1"/>
    <col min="11" max="11" width="32.88671875" customWidth="1"/>
    <col min="12" max="12" width="23.109375" customWidth="1"/>
  </cols>
  <sheetData>
    <row r="4" spans="2:21" ht="26.4" customHeight="1" x14ac:dyDescent="0.3"/>
    <row r="9" spans="2:21" ht="27" customHeight="1" x14ac:dyDescent="0.3">
      <c r="B9" s="43" t="s">
        <v>436</v>
      </c>
      <c r="K9" s="43" t="s">
        <v>457</v>
      </c>
      <c r="U9" s="43" t="s">
        <v>463</v>
      </c>
    </row>
    <row r="11" spans="2:21" ht="25.2" customHeight="1" x14ac:dyDescent="0.3">
      <c r="B11" s="186" t="s">
        <v>439</v>
      </c>
      <c r="C11" s="186"/>
      <c r="K11" s="186" t="s">
        <v>439</v>
      </c>
      <c r="L11" s="186"/>
    </row>
    <row r="12" spans="2:21" ht="15.6" x14ac:dyDescent="0.35">
      <c r="B12" t="s">
        <v>437</v>
      </c>
      <c r="C12" t="s">
        <v>441</v>
      </c>
      <c r="F12" t="str" cm="1">
        <f t="array" ref="F12">_xlfn.IFS(C19+1 = D19, "")</f>
        <v/>
      </c>
      <c r="K12" t="s">
        <v>437</v>
      </c>
      <c r="L12" t="s">
        <v>459</v>
      </c>
    </row>
    <row r="13" spans="2:21" ht="15.6" x14ac:dyDescent="0.35">
      <c r="B13" t="s">
        <v>438</v>
      </c>
      <c r="C13" t="s">
        <v>440</v>
      </c>
      <c r="K13" t="s">
        <v>438</v>
      </c>
      <c r="L13" t="s">
        <v>460</v>
      </c>
    </row>
    <row r="14" spans="2:21" ht="15.6" x14ac:dyDescent="0.35">
      <c r="K14" t="s">
        <v>458</v>
      </c>
      <c r="L14" t="s">
        <v>461</v>
      </c>
    </row>
    <row r="16" spans="2:21" ht="27" customHeight="1" x14ac:dyDescent="0.3">
      <c r="B16" s="186" t="s">
        <v>453</v>
      </c>
      <c r="C16" s="186"/>
      <c r="K16" s="186" t="s">
        <v>453</v>
      </c>
      <c r="L16" s="186"/>
    </row>
    <row r="18" spans="2:14" x14ac:dyDescent="0.3">
      <c r="B18" t="s">
        <v>442</v>
      </c>
      <c r="C18" t="s">
        <v>446</v>
      </c>
      <c r="D18" t="s">
        <v>445</v>
      </c>
      <c r="E18" t="s">
        <v>447</v>
      </c>
      <c r="K18" t="s">
        <v>442</v>
      </c>
      <c r="L18" t="s">
        <v>446</v>
      </c>
      <c r="M18" t="s">
        <v>445</v>
      </c>
      <c r="N18" t="s">
        <v>447</v>
      </c>
    </row>
    <row r="19" spans="2:14" x14ac:dyDescent="0.3">
      <c r="B19" t="s">
        <v>443</v>
      </c>
      <c r="C19">
        <v>1</v>
      </c>
      <c r="D19">
        <v>2</v>
      </c>
      <c r="E19" t="str" cm="1">
        <f t="array" ref="E19">_xlfn.IFS(C19+1=D19, "Точно идентифицируемое", C19+1&gt;D19, "Сверхидентифицируемое", C19+1&lt;D19, "Неидентифицируемое")</f>
        <v>Точно идентифицируемое</v>
      </c>
      <c r="K19" t="s">
        <v>443</v>
      </c>
      <c r="L19">
        <v>4</v>
      </c>
      <c r="M19">
        <v>2</v>
      </c>
      <c r="N19" t="str" cm="1">
        <f t="array" ref="N19">_xlfn.IFS(L19+1=M19, "Точно идентифицируемое", L19+1&gt;M19, "Сверхидентифицируемое", L19+1&lt;M19, "Неидентифицируемое")</f>
        <v>Сверхидентифицируемое</v>
      </c>
    </row>
    <row r="20" spans="2:14" x14ac:dyDescent="0.3">
      <c r="B20" t="s">
        <v>444</v>
      </c>
      <c r="C20">
        <v>1</v>
      </c>
      <c r="D20">
        <v>2</v>
      </c>
      <c r="E20" t="str" cm="1">
        <f t="array" ref="E20">_xlfn.IFS(C20+1=D20, "Точно идентифицируемое", C20+1&gt;D20, "Сверхидентифицируемое", C20+1&lt;D20, "Неидентифицируемое")</f>
        <v>Точно идентифицируемое</v>
      </c>
      <c r="K20" t="s">
        <v>444</v>
      </c>
      <c r="L20">
        <v>5</v>
      </c>
      <c r="M20">
        <v>3</v>
      </c>
      <c r="N20" t="str" cm="1">
        <f t="array" ref="N20">_xlfn.IFS(L20+1=M20, "Точно идентифицируемое", L20+1&gt;M20, "Сверхидентифицируемое", L20+1&lt;M20, "Неидентифицируемое")</f>
        <v>Сверхидентифицируемое</v>
      </c>
    </row>
    <row r="21" spans="2:14" x14ac:dyDescent="0.3">
      <c r="K21" t="s">
        <v>449</v>
      </c>
      <c r="L21">
        <v>3</v>
      </c>
      <c r="M21">
        <v>2</v>
      </c>
      <c r="N21" t="str" cm="1">
        <f t="array" ref="N21">_xlfn.IFS(L21+1=M21, "Точно идентифицируемое", L21+1&gt;M21, "Сверхидентифицируемое", L21+1&lt;M21, "Неидентифицируемое")</f>
        <v>Сверхидентифицируемое</v>
      </c>
    </row>
    <row r="22" spans="2:14" x14ac:dyDescent="0.3">
      <c r="K22" t="s">
        <v>450</v>
      </c>
      <c r="L22">
        <v>3</v>
      </c>
      <c r="M22">
        <v>1</v>
      </c>
      <c r="N22" t="str" cm="1">
        <f t="array" ref="N22">_xlfn.IFS(L22+1=M22, "Точно идентифицируемое", L22+1&gt;M22, "Сверхидентифицируемое", L22+1&lt;M22, "Неидентифицируемое")</f>
        <v>Сверхидентифицируемое</v>
      </c>
    </row>
    <row r="23" spans="2:14" ht="25.8" customHeight="1" x14ac:dyDescent="0.3"/>
    <row r="24" spans="2:14" ht="44.4" customHeight="1" x14ac:dyDescent="0.3">
      <c r="B24" t="s">
        <v>448</v>
      </c>
      <c r="C24" t="s">
        <v>451</v>
      </c>
      <c r="D24" t="s">
        <v>452</v>
      </c>
      <c r="E24" t="s">
        <v>447</v>
      </c>
      <c r="K24" t="s">
        <v>448</v>
      </c>
      <c r="L24" t="s">
        <v>451</v>
      </c>
      <c r="M24" t="s">
        <v>452</v>
      </c>
      <c r="N24" t="s">
        <v>447</v>
      </c>
    </row>
    <row r="25" spans="2:14" x14ac:dyDescent="0.3">
      <c r="B25" t="s">
        <v>443</v>
      </c>
      <c r="C25">
        <v>1</v>
      </c>
      <c r="D25">
        <v>2</v>
      </c>
      <c r="E25" t="str" cm="1">
        <f t="array" ref="E25">_xlfn.IFS(C25&gt;=D25-1, "Идентифицируемое", C25&lt;D25-1, "Неидентифицируемое")</f>
        <v>Идентифицируемое</v>
      </c>
      <c r="K25" t="s">
        <v>443</v>
      </c>
      <c r="L25">
        <v>3</v>
      </c>
      <c r="M25">
        <v>4</v>
      </c>
      <c r="N25" t="str" cm="1">
        <f t="array" ref="N25">_xlfn.IFS(L25&gt;=M25-1, "Идентифицируемое", L25&lt;M25-1, "Неидентифицируемое")</f>
        <v>Идентифицируемое</v>
      </c>
    </row>
    <row r="26" spans="2:14" x14ac:dyDescent="0.3">
      <c r="B26" t="s">
        <v>444</v>
      </c>
      <c r="C26">
        <v>1</v>
      </c>
      <c r="D26">
        <v>2</v>
      </c>
      <c r="E26" t="str" cm="1">
        <f t="array" ref="E26">_xlfn.IFS(C26&gt;=D26-1, "Идентифицируемое", C26&lt;D26-1, "Неидентифицируемое")</f>
        <v>Идентифицируемое</v>
      </c>
      <c r="K26" t="s">
        <v>444</v>
      </c>
      <c r="L26">
        <v>3</v>
      </c>
      <c r="M26">
        <v>4</v>
      </c>
      <c r="N26" t="str" cm="1">
        <f t="array" ref="N26">_xlfn.IFS(L26&gt;=M26-1, "Идентифицируемое", L26&lt;M26-1, "Неидентифицируемое")</f>
        <v>Идентифицируемое</v>
      </c>
    </row>
    <row r="27" spans="2:14" x14ac:dyDescent="0.3">
      <c r="K27" t="s">
        <v>449</v>
      </c>
      <c r="L27">
        <v>3</v>
      </c>
      <c r="M27">
        <v>4</v>
      </c>
      <c r="N27" t="str" cm="1">
        <f t="array" ref="N27">_xlfn.IFS(L27&gt;=M27-1, "Идентифицируемое", L27&lt;M27-1, "Неидентифицируемое")</f>
        <v>Идентифицируемое</v>
      </c>
    </row>
    <row r="28" spans="2:14" x14ac:dyDescent="0.3">
      <c r="K28" t="s">
        <v>450</v>
      </c>
      <c r="L28">
        <v>3</v>
      </c>
      <c r="M28">
        <v>4</v>
      </c>
      <c r="N28" t="str" cm="1">
        <f t="array" ref="N28">_xlfn.IFS(L28&gt;=M28-1, "Идентифицируемое", L28&lt;M28-1, "Неидентифицируемое")</f>
        <v>Идентифицируемое</v>
      </c>
    </row>
    <row r="32" spans="2:14" ht="21.6" customHeight="1" x14ac:dyDescent="0.3">
      <c r="B32" s="186" t="s">
        <v>454</v>
      </c>
      <c r="C32" s="186"/>
      <c r="K32" s="186" t="s">
        <v>454</v>
      </c>
      <c r="L32" s="186"/>
    </row>
    <row r="33" spans="2:14" ht="64.8" customHeight="1" x14ac:dyDescent="0.3">
      <c r="B33" s="195" t="s">
        <v>455</v>
      </c>
      <c r="C33" s="195"/>
      <c r="D33" s="126"/>
      <c r="E33" s="126"/>
      <c r="K33" s="195" t="s">
        <v>462</v>
      </c>
      <c r="L33" s="195"/>
      <c r="M33" s="126"/>
      <c r="N33" s="126"/>
    </row>
    <row r="36" spans="2:14" ht="25.8" customHeight="1" x14ac:dyDescent="0.3">
      <c r="B36" s="186" t="s">
        <v>456</v>
      </c>
      <c r="C36" s="186"/>
      <c r="K36" s="186" t="s">
        <v>456</v>
      </c>
      <c r="L36" s="186"/>
    </row>
  </sheetData>
  <mergeCells count="10">
    <mergeCell ref="B32:C32"/>
    <mergeCell ref="B36:C36"/>
    <mergeCell ref="K11:L11"/>
    <mergeCell ref="K16:L16"/>
    <mergeCell ref="K32:L32"/>
    <mergeCell ref="K36:L36"/>
    <mergeCell ref="K33:L33"/>
    <mergeCell ref="B33:C33"/>
    <mergeCell ref="B11:C11"/>
    <mergeCell ref="B16:C16"/>
  </mergeCells>
  <phoneticPr fontId="15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20C4C-14BA-4F3D-9DBE-61BB7BCD7439}">
  <sheetPr>
    <tabColor theme="5" tint="0.79998168889431442"/>
  </sheetPr>
  <dimension ref="B3:E27"/>
  <sheetViews>
    <sheetView zoomScale="84" zoomScaleNormal="84" workbookViewId="0">
      <selection activeCell="B26" sqref="B26:C27"/>
    </sheetView>
  </sheetViews>
  <sheetFormatPr defaultRowHeight="14.4" x14ac:dyDescent="0.3"/>
  <cols>
    <col min="2" max="2" width="28.5546875" customWidth="1"/>
    <col min="3" max="3" width="26.5546875" customWidth="1"/>
    <col min="5" max="5" width="24.5546875" bestFit="1" customWidth="1"/>
  </cols>
  <sheetData>
    <row r="3" spans="2:5" x14ac:dyDescent="0.3">
      <c r="B3" s="43" t="s">
        <v>457</v>
      </c>
    </row>
    <row r="5" spans="2:5" ht="25.8" customHeight="1" x14ac:dyDescent="0.3">
      <c r="B5" s="186" t="s">
        <v>439</v>
      </c>
      <c r="C5" s="186"/>
    </row>
    <row r="6" spans="2:5" x14ac:dyDescent="0.3">
      <c r="B6" t="s">
        <v>437</v>
      </c>
      <c r="C6" t="s">
        <v>464</v>
      </c>
    </row>
    <row r="7" spans="2:5" x14ac:dyDescent="0.3">
      <c r="B7" t="s">
        <v>438</v>
      </c>
      <c r="C7" t="s">
        <v>465</v>
      </c>
    </row>
    <row r="10" spans="2:5" ht="25.8" customHeight="1" x14ac:dyDescent="0.3">
      <c r="B10" s="186" t="s">
        <v>453</v>
      </c>
      <c r="C10" s="186"/>
    </row>
    <row r="12" spans="2:5" x14ac:dyDescent="0.3">
      <c r="B12" t="s">
        <v>442</v>
      </c>
      <c r="C12" t="s">
        <v>446</v>
      </c>
      <c r="D12" t="s">
        <v>445</v>
      </c>
      <c r="E12" t="s">
        <v>447</v>
      </c>
    </row>
    <row r="13" spans="2:5" x14ac:dyDescent="0.3">
      <c r="B13" t="s">
        <v>443</v>
      </c>
      <c r="C13">
        <v>1</v>
      </c>
      <c r="D13">
        <v>2</v>
      </c>
      <c r="E13" t="str" cm="1">
        <f t="array" ref="E13">_xlfn.IFS(C13+1=D13, "Точно индентифицируемое", C13+1&gt;D13, "Сверхиндентифицируемое", C13+1&lt;D13, "Неидентифицируемое")</f>
        <v>Точно индентифицируемое</v>
      </c>
    </row>
    <row r="14" spans="2:5" x14ac:dyDescent="0.3">
      <c r="B14" t="s">
        <v>444</v>
      </c>
      <c r="C14">
        <v>1</v>
      </c>
      <c r="D14">
        <v>2</v>
      </c>
      <c r="E14" t="str" cm="1">
        <f t="array" ref="E14">_xlfn.IFS(C14+1=D14, "Точно индентифицируемое", C14+1&gt;D14, "Сверхиндентифицируемое", C14+1&lt;D14, "Неидентифицируемое")</f>
        <v>Точно индентифицируемое</v>
      </c>
    </row>
    <row r="15" spans="2:5" x14ac:dyDescent="0.3">
      <c r="B15" t="s">
        <v>449</v>
      </c>
      <c r="C15">
        <v>1</v>
      </c>
      <c r="D15">
        <v>1</v>
      </c>
      <c r="E15" t="str" cm="1">
        <f t="array" ref="E15">_xlfn.IFS(C15+1=D15, "Точно индентифицируемое", C15+1&gt;D15, "Сверхиндентифицируемое", C15+1&lt;D15, "Неидентифицируемое")</f>
        <v>Сверхиндентифицируемое</v>
      </c>
    </row>
    <row r="18" spans="2:5" x14ac:dyDescent="0.3">
      <c r="B18" t="s">
        <v>448</v>
      </c>
      <c r="C18" t="s">
        <v>451</v>
      </c>
      <c r="D18" t="s">
        <v>452</v>
      </c>
      <c r="E18" t="s">
        <v>447</v>
      </c>
    </row>
    <row r="19" spans="2:5" x14ac:dyDescent="0.3">
      <c r="B19" t="s">
        <v>443</v>
      </c>
      <c r="C19">
        <v>2</v>
      </c>
      <c r="D19">
        <v>3</v>
      </c>
      <c r="E19" t="str" cm="1">
        <f t="array" ref="E19">_xlfn.IFS(C19&gt;=D19-1, "Идентифицируемое", C19&lt;D19-1, "Неидентифицируемое")</f>
        <v>Идентифицируемое</v>
      </c>
    </row>
    <row r="20" spans="2:5" x14ac:dyDescent="0.3">
      <c r="B20" t="s">
        <v>444</v>
      </c>
      <c r="C20">
        <v>2</v>
      </c>
      <c r="D20">
        <v>3</v>
      </c>
      <c r="E20" t="str" cm="1">
        <f t="array" ref="E20">_xlfn.IFS(C20&gt;=D20-1, "Идентифицируемое", C20&lt;D20-1, "Неидентифицируемое")</f>
        <v>Идентифицируемое</v>
      </c>
    </row>
    <row r="21" spans="2:5" x14ac:dyDescent="0.3">
      <c r="B21" t="s">
        <v>449</v>
      </c>
      <c r="C21">
        <v>2</v>
      </c>
      <c r="D21">
        <v>3</v>
      </c>
      <c r="E21" t="str" cm="1">
        <f t="array" ref="E21">_xlfn.IFS(C21&gt;=D21-1, "Идентифицируемое", C21&lt;D21-1, "Неидентифицируемое")</f>
        <v>Идентифицируемое</v>
      </c>
    </row>
    <row r="26" spans="2:5" ht="26.4" customHeight="1" x14ac:dyDescent="0.3">
      <c r="B26" s="186" t="s">
        <v>454</v>
      </c>
      <c r="C26" s="186"/>
    </row>
    <row r="27" spans="2:5" ht="68.400000000000006" customHeight="1" x14ac:dyDescent="0.3">
      <c r="B27" s="195" t="s">
        <v>462</v>
      </c>
      <c r="C27" s="195"/>
      <c r="D27" s="126"/>
      <c r="E27" s="126"/>
    </row>
  </sheetData>
  <mergeCells count="4">
    <mergeCell ref="B5:C5"/>
    <mergeCell ref="B10:C10"/>
    <mergeCell ref="B26:C26"/>
    <mergeCell ref="B27:C27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85052-13C4-4D3D-AA62-40DDD7101366}">
  <sheetPr>
    <tabColor theme="5" tint="0.79998168889431442"/>
  </sheetPr>
  <dimension ref="B3:AO163"/>
  <sheetViews>
    <sheetView topLeftCell="A2" zoomScale="52" zoomScaleNormal="70" workbookViewId="0">
      <selection activeCell="N131" sqref="N131"/>
    </sheetView>
  </sheetViews>
  <sheetFormatPr defaultRowHeight="14.4" x14ac:dyDescent="0.3"/>
  <cols>
    <col min="13" max="13" width="44.6640625" customWidth="1"/>
    <col min="23" max="23" width="26" bestFit="1" customWidth="1"/>
    <col min="33" max="33" width="17.5546875" customWidth="1"/>
  </cols>
  <sheetData>
    <row r="3" spans="2:16" ht="15.6" x14ac:dyDescent="0.3">
      <c r="B3" s="1" t="s">
        <v>466</v>
      </c>
      <c r="C3" s="1" t="s">
        <v>467</v>
      </c>
      <c r="D3" s="1"/>
      <c r="E3" s="127" t="s">
        <v>468</v>
      </c>
      <c r="F3" s="1"/>
      <c r="G3" s="1"/>
      <c r="H3" s="1"/>
    </row>
    <row r="4" spans="2:16" x14ac:dyDescent="0.3">
      <c r="B4" s="1"/>
      <c r="C4" s="1" t="s">
        <v>469</v>
      </c>
      <c r="D4" s="1"/>
      <c r="E4" s="1"/>
      <c r="F4" s="1"/>
      <c r="G4" s="1"/>
      <c r="H4" s="1"/>
    </row>
    <row r="5" spans="2:16" x14ac:dyDescent="0.3">
      <c r="B5" s="1"/>
      <c r="C5" s="1" t="s">
        <v>470</v>
      </c>
      <c r="D5" s="1"/>
      <c r="E5" s="1"/>
      <c r="F5" s="1"/>
      <c r="G5" s="1"/>
      <c r="H5" s="1"/>
    </row>
    <row r="6" spans="2:16" x14ac:dyDescent="0.3">
      <c r="B6" s="1"/>
      <c r="C6" s="1"/>
      <c r="D6" s="1"/>
      <c r="E6" s="1"/>
      <c r="F6" s="1"/>
      <c r="G6" s="1"/>
      <c r="H6" s="1"/>
    </row>
    <row r="7" spans="2:16" x14ac:dyDescent="0.3">
      <c r="B7" s="1"/>
      <c r="C7" s="1" t="s">
        <v>471</v>
      </c>
      <c r="D7" s="1"/>
      <c r="E7" s="1"/>
      <c r="F7" s="1"/>
      <c r="G7" s="1"/>
      <c r="H7" s="1"/>
    </row>
    <row r="8" spans="2:16" ht="15.6" x14ac:dyDescent="0.3">
      <c r="B8" s="1"/>
      <c r="C8" s="127" t="s">
        <v>472</v>
      </c>
      <c r="D8" s="1"/>
      <c r="E8" s="1"/>
      <c r="F8" s="1"/>
      <c r="G8" s="1"/>
      <c r="H8" s="1"/>
    </row>
    <row r="9" spans="2:16" ht="15.6" x14ac:dyDescent="0.3">
      <c r="B9" s="1"/>
      <c r="C9" s="127"/>
      <c r="D9" s="1"/>
      <c r="E9" s="1"/>
      <c r="F9" s="1"/>
      <c r="G9" s="1"/>
      <c r="H9" s="1"/>
    </row>
    <row r="10" spans="2:16" ht="21.6" customHeight="1" x14ac:dyDescent="0.3">
      <c r="B10" s="1"/>
      <c r="C10" s="196" t="s">
        <v>437</v>
      </c>
      <c r="D10" s="185"/>
      <c r="E10" s="197"/>
      <c r="F10" s="196" t="s">
        <v>438</v>
      </c>
      <c r="G10" s="185"/>
      <c r="H10" s="197"/>
      <c r="I10" s="185" t="s">
        <v>491</v>
      </c>
      <c r="J10" s="185"/>
      <c r="K10" s="197"/>
    </row>
    <row r="11" spans="2:16" ht="26.4" customHeight="1" x14ac:dyDescent="0.3">
      <c r="B11" s="4"/>
      <c r="C11" s="138" t="s">
        <v>473</v>
      </c>
      <c r="D11" s="139" t="s">
        <v>474</v>
      </c>
      <c r="E11" s="143" t="s">
        <v>475</v>
      </c>
      <c r="F11" s="149" t="s">
        <v>476</v>
      </c>
      <c r="G11" s="140" t="s">
        <v>477</v>
      </c>
      <c r="H11" s="150" t="s">
        <v>478</v>
      </c>
      <c r="I11" s="141" t="s">
        <v>488</v>
      </c>
      <c r="J11" s="141" t="s">
        <v>489</v>
      </c>
      <c r="K11" s="142" t="s">
        <v>490</v>
      </c>
      <c r="L11" s="111"/>
      <c r="M11" s="110" t="s">
        <v>479</v>
      </c>
    </row>
    <row r="12" spans="2:16" x14ac:dyDescent="0.3">
      <c r="B12" s="128">
        <v>1</v>
      </c>
      <c r="C12" s="144">
        <v>335</v>
      </c>
      <c r="D12" s="145">
        <v>240</v>
      </c>
      <c r="E12" s="146">
        <v>342</v>
      </c>
      <c r="F12" s="151">
        <v>22.2</v>
      </c>
      <c r="G12" s="133">
        <v>9.3000000000000007</v>
      </c>
      <c r="H12" s="130">
        <v>178</v>
      </c>
      <c r="I12" s="134">
        <f t="shared" ref="I12:I34" si="0">N59</f>
        <v>338.0242106533276</v>
      </c>
      <c r="J12" s="134">
        <f t="shared" ref="J12:J34" si="1">X59</f>
        <v>217.73794646491592</v>
      </c>
      <c r="K12" s="135">
        <f t="shared" ref="K12:K34" si="2">AH59</f>
        <v>277.72907435454135</v>
      </c>
    </row>
    <row r="13" spans="2:16" x14ac:dyDescent="0.3">
      <c r="B13" s="128">
        <v>2</v>
      </c>
      <c r="C13" s="144">
        <v>379</v>
      </c>
      <c r="D13" s="145">
        <v>226</v>
      </c>
      <c r="E13" s="146">
        <v>323</v>
      </c>
      <c r="F13" s="151">
        <v>19.2</v>
      </c>
      <c r="G13" s="133">
        <v>12.1</v>
      </c>
      <c r="H13" s="130">
        <v>202</v>
      </c>
      <c r="I13" s="134">
        <f t="shared" si="0"/>
        <v>350.14117180557764</v>
      </c>
      <c r="J13" s="134">
        <f t="shared" si="1"/>
        <v>220.21473557604489</v>
      </c>
      <c r="K13" s="135">
        <f t="shared" si="2"/>
        <v>310.19798095021372</v>
      </c>
      <c r="M13" t="s">
        <v>442</v>
      </c>
      <c r="N13" t="s">
        <v>446</v>
      </c>
      <c r="O13" t="s">
        <v>445</v>
      </c>
      <c r="P13" t="s">
        <v>447</v>
      </c>
    </row>
    <row r="14" spans="2:16" x14ac:dyDescent="0.3">
      <c r="B14" s="128">
        <v>3</v>
      </c>
      <c r="C14" s="144">
        <v>343</v>
      </c>
      <c r="D14" s="145">
        <v>221</v>
      </c>
      <c r="E14" s="146">
        <v>312</v>
      </c>
      <c r="F14" s="151">
        <v>29.9</v>
      </c>
      <c r="G14" s="133">
        <v>14.9</v>
      </c>
      <c r="H14" s="130">
        <v>197</v>
      </c>
      <c r="I14" s="134">
        <f t="shared" si="0"/>
        <v>291.2778492315461</v>
      </c>
      <c r="J14" s="134">
        <f t="shared" si="1"/>
        <v>214.12622285468404</v>
      </c>
      <c r="K14" s="135">
        <f t="shared" si="2"/>
        <v>89.482664711532152</v>
      </c>
      <c r="M14" t="s">
        <v>443</v>
      </c>
      <c r="N14">
        <v>1</v>
      </c>
      <c r="O14">
        <v>2</v>
      </c>
      <c r="P14" t="str" cm="1">
        <f t="array" ref="P14">_xlfn.IFS(N14+1=O14, "Точно идентифицируемое", N14+1&gt;O14, "Сверхидентифицируемое", N14+1&lt;O14, "Неидентифицируемое")</f>
        <v>Точно идентифицируемое</v>
      </c>
    </row>
    <row r="15" spans="2:16" x14ac:dyDescent="0.3">
      <c r="B15" s="128">
        <v>4</v>
      </c>
      <c r="C15" s="144">
        <v>391</v>
      </c>
      <c r="D15" s="145">
        <v>226</v>
      </c>
      <c r="E15" s="146">
        <v>433</v>
      </c>
      <c r="F15" s="151">
        <v>16.5</v>
      </c>
      <c r="G15" s="133">
        <v>8.3000000000000007</v>
      </c>
      <c r="H15" s="130">
        <v>201</v>
      </c>
      <c r="I15" s="134">
        <f t="shared" si="0"/>
        <v>405.66085894360236</v>
      </c>
      <c r="J15" s="134">
        <f t="shared" si="1"/>
        <v>224.28814792701749</v>
      </c>
      <c r="K15" s="135">
        <f t="shared" si="2"/>
        <v>501.49410686585509</v>
      </c>
      <c r="M15" t="s">
        <v>444</v>
      </c>
      <c r="N15">
        <v>1</v>
      </c>
      <c r="O15">
        <v>1</v>
      </c>
      <c r="P15" t="str" cm="1">
        <f t="array" ref="P15">_xlfn.IFS(N15+1=O15, "Точно идентифицируемое", N15+1&gt;O15, "Сверхидентифицируемое", N15+1&lt;O15, "Неидентифицируемое")</f>
        <v>Сверхидентифицируемое</v>
      </c>
    </row>
    <row r="16" spans="2:16" x14ac:dyDescent="0.3">
      <c r="B16" s="128">
        <v>5</v>
      </c>
      <c r="C16" s="144">
        <v>407</v>
      </c>
      <c r="D16" s="145">
        <v>220</v>
      </c>
      <c r="E16" s="146">
        <v>415</v>
      </c>
      <c r="F16" s="151">
        <v>27.5</v>
      </c>
      <c r="G16" s="133">
        <v>8.8000000000000007</v>
      </c>
      <c r="H16" s="130">
        <v>189</v>
      </c>
      <c r="I16" s="134">
        <f t="shared" si="0"/>
        <v>365.45845436180093</v>
      </c>
      <c r="J16" s="134">
        <f t="shared" si="1"/>
        <v>219.02863043909625</v>
      </c>
      <c r="K16" s="135">
        <f t="shared" si="2"/>
        <v>346.10863435332953</v>
      </c>
      <c r="M16" t="s">
        <v>449</v>
      </c>
      <c r="N16">
        <v>2</v>
      </c>
      <c r="O16">
        <v>3</v>
      </c>
      <c r="P16" t="str" cm="1">
        <f t="array" ref="P16">_xlfn.IFS(N16+1=O16, "Точно идентифицируемое", N16+1&gt;O16, "Сверхидентифицируемое", N16+1&lt;O16, "Неидентифицируемое")</f>
        <v>Точно идентифицируемое</v>
      </c>
    </row>
    <row r="17" spans="2:33" x14ac:dyDescent="0.3">
      <c r="B17" s="128">
        <v>6</v>
      </c>
      <c r="C17" s="144">
        <v>727</v>
      </c>
      <c r="D17" s="145">
        <v>250</v>
      </c>
      <c r="E17" s="146">
        <v>1708</v>
      </c>
      <c r="F17" s="151">
        <v>13.3</v>
      </c>
      <c r="G17" s="133">
        <v>5.2</v>
      </c>
      <c r="H17" s="130">
        <v>302</v>
      </c>
      <c r="I17" s="134">
        <f t="shared" si="0"/>
        <v>669.44385760908904</v>
      </c>
      <c r="J17" s="134">
        <f t="shared" si="1"/>
        <v>246.75100102568848</v>
      </c>
      <c r="K17" s="135">
        <f t="shared" si="2"/>
        <v>1313.510942966609</v>
      </c>
    </row>
    <row r="18" spans="2:33" x14ac:dyDescent="0.3">
      <c r="B18" s="128">
        <v>7</v>
      </c>
      <c r="C18" s="144">
        <v>482</v>
      </c>
      <c r="D18" s="145">
        <v>237</v>
      </c>
      <c r="E18" s="146">
        <v>369</v>
      </c>
      <c r="F18" s="151">
        <v>18.2</v>
      </c>
      <c r="G18" s="133">
        <v>9.5</v>
      </c>
      <c r="H18" s="130">
        <v>215</v>
      </c>
      <c r="I18" s="134">
        <f t="shared" si="0"/>
        <v>416.85388305543626</v>
      </c>
      <c r="J18" s="134">
        <f t="shared" si="1"/>
        <v>225.34644853101997</v>
      </c>
      <c r="K18" s="135">
        <f t="shared" si="2"/>
        <v>524.39324121528193</v>
      </c>
    </row>
    <row r="19" spans="2:33" x14ac:dyDescent="0.3">
      <c r="B19" s="128">
        <v>8</v>
      </c>
      <c r="C19" s="144">
        <v>346</v>
      </c>
      <c r="D19" s="145">
        <v>232</v>
      </c>
      <c r="E19" s="146">
        <v>404</v>
      </c>
      <c r="F19" s="151">
        <v>18.100000000000001</v>
      </c>
      <c r="G19" s="133">
        <v>7.3</v>
      </c>
      <c r="H19" s="130">
        <v>166</v>
      </c>
      <c r="I19" s="134">
        <f t="shared" si="0"/>
        <v>344.44338263570319</v>
      </c>
      <c r="J19" s="134">
        <f t="shared" si="1"/>
        <v>218.37282304075498</v>
      </c>
      <c r="K19" s="135">
        <f t="shared" si="2"/>
        <v>318.29536369819346</v>
      </c>
      <c r="M19" t="s">
        <v>448</v>
      </c>
      <c r="N19" t="s">
        <v>451</v>
      </c>
      <c r="O19" t="s">
        <v>452</v>
      </c>
      <c r="P19" t="s">
        <v>447</v>
      </c>
    </row>
    <row r="20" spans="2:33" x14ac:dyDescent="0.3">
      <c r="B20" s="128">
        <v>9</v>
      </c>
      <c r="C20" s="144">
        <v>394</v>
      </c>
      <c r="D20" s="145">
        <v>215</v>
      </c>
      <c r="E20" s="146">
        <v>327</v>
      </c>
      <c r="F20" s="151">
        <v>16.5</v>
      </c>
      <c r="G20" s="133">
        <v>6.4</v>
      </c>
      <c r="H20" s="130">
        <v>199</v>
      </c>
      <c r="I20" s="134">
        <f t="shared" si="0"/>
        <v>429.33108955766699</v>
      </c>
      <c r="J20" s="134">
        <f t="shared" si="1"/>
        <v>225.73296134501777</v>
      </c>
      <c r="K20" s="135">
        <f t="shared" si="2"/>
        <v>580.87448895171701</v>
      </c>
      <c r="M20" t="s">
        <v>443</v>
      </c>
      <c r="N20">
        <v>2</v>
      </c>
      <c r="O20">
        <v>3</v>
      </c>
      <c r="P20" t="str" cm="1">
        <f t="array" ref="P20">_xlfn.IFS(N20&gt;=O20-1, "Идентифицируемое", N20&lt;O20-1, "Неидентифицируемое")</f>
        <v>Идентифицируемое</v>
      </c>
    </row>
    <row r="21" spans="2:33" x14ac:dyDescent="0.3">
      <c r="B21" s="128">
        <v>10</v>
      </c>
      <c r="C21" s="144">
        <v>339</v>
      </c>
      <c r="D21" s="145">
        <v>220</v>
      </c>
      <c r="E21" s="146">
        <v>379</v>
      </c>
      <c r="F21" s="151">
        <v>21.5</v>
      </c>
      <c r="G21" s="133">
        <v>9.6</v>
      </c>
      <c r="H21" s="130">
        <v>180</v>
      </c>
      <c r="I21" s="134">
        <f t="shared" si="0"/>
        <v>338.34670676437884</v>
      </c>
      <c r="J21" s="134">
        <f t="shared" si="1"/>
        <v>217.98506002055106</v>
      </c>
      <c r="K21" s="135">
        <f t="shared" si="2"/>
        <v>279.42630434479452</v>
      </c>
      <c r="M21" t="s">
        <v>444</v>
      </c>
      <c r="N21">
        <v>2</v>
      </c>
      <c r="O21">
        <v>3</v>
      </c>
      <c r="P21" t="str" cm="1">
        <f t="array" ref="P21">_xlfn.IFS(N21&gt;=O21-1, "Идентифицируемое", N21&lt;O21-1, "Неидентифицируемое")</f>
        <v>Идентифицируемое</v>
      </c>
    </row>
    <row r="22" spans="2:33" x14ac:dyDescent="0.3">
      <c r="B22" s="128">
        <v>11</v>
      </c>
      <c r="C22" s="144">
        <v>417</v>
      </c>
      <c r="D22" s="145">
        <v>222</v>
      </c>
      <c r="E22" s="146">
        <v>339</v>
      </c>
      <c r="F22" s="151">
        <v>20.9</v>
      </c>
      <c r="G22" s="133">
        <v>8</v>
      </c>
      <c r="H22" s="130">
        <v>181</v>
      </c>
      <c r="I22" s="134">
        <f t="shared" si="0"/>
        <v>364.41378029257476</v>
      </c>
      <c r="J22" s="134">
        <f t="shared" si="1"/>
        <v>219.8394887670072</v>
      </c>
      <c r="K22" s="135">
        <f t="shared" si="2"/>
        <v>366.40353103257667</v>
      </c>
      <c r="M22" t="s">
        <v>449</v>
      </c>
      <c r="N22">
        <v>2</v>
      </c>
      <c r="O22">
        <v>3</v>
      </c>
      <c r="P22" t="str" cm="1">
        <f t="array" ref="P22">_xlfn.IFS(N22&gt;=O22-1, "Идентифицируемое", N22&lt;O22-1, "Неидентифицируемое")</f>
        <v>Идентифицируемое</v>
      </c>
    </row>
    <row r="23" spans="2:33" x14ac:dyDescent="0.3">
      <c r="B23" s="128">
        <v>12</v>
      </c>
      <c r="C23" s="144">
        <v>423</v>
      </c>
      <c r="D23" s="145">
        <v>231</v>
      </c>
      <c r="E23" s="146">
        <v>432</v>
      </c>
      <c r="F23" s="151">
        <v>18</v>
      </c>
      <c r="G23" s="133">
        <v>5.9</v>
      </c>
      <c r="H23" s="130">
        <v>186</v>
      </c>
      <c r="I23" s="134">
        <f t="shared" si="0"/>
        <v>407.89389655919001</v>
      </c>
      <c r="J23" s="134">
        <f t="shared" si="1"/>
        <v>223.44853352987082</v>
      </c>
      <c r="K23" s="135">
        <f t="shared" si="2"/>
        <v>514.58700662797992</v>
      </c>
    </row>
    <row r="24" spans="2:33" x14ac:dyDescent="0.3">
      <c r="B24" s="128">
        <v>13</v>
      </c>
      <c r="C24" s="144">
        <v>450</v>
      </c>
      <c r="D24" s="145">
        <v>229</v>
      </c>
      <c r="E24" s="146">
        <v>460</v>
      </c>
      <c r="F24" s="151">
        <v>26.6</v>
      </c>
      <c r="G24" s="133">
        <v>11.5</v>
      </c>
      <c r="H24" s="130">
        <v>250</v>
      </c>
      <c r="I24" s="134">
        <f t="shared" si="0"/>
        <v>456.84056387679988</v>
      </c>
      <c r="J24" s="134">
        <f t="shared" si="1"/>
        <v>227.98492593238544</v>
      </c>
      <c r="K24" s="135">
        <f t="shared" si="2"/>
        <v>609.62707600070439</v>
      </c>
      <c r="M24" t="s">
        <v>480</v>
      </c>
    </row>
    <row r="25" spans="2:33" x14ac:dyDescent="0.3">
      <c r="B25" s="128">
        <v>14</v>
      </c>
      <c r="C25" s="144">
        <v>286</v>
      </c>
      <c r="D25" s="145">
        <v>203</v>
      </c>
      <c r="E25" s="146">
        <v>264</v>
      </c>
      <c r="F25" s="151">
        <v>15.7</v>
      </c>
      <c r="G25" s="133">
        <v>11.2</v>
      </c>
      <c r="H25" s="130">
        <v>201</v>
      </c>
      <c r="I25" s="134">
        <f t="shared" si="0"/>
        <v>363.52299467249003</v>
      </c>
      <c r="J25" s="134">
        <f t="shared" si="1"/>
        <v>221.70167350614656</v>
      </c>
      <c r="K25" s="135">
        <f t="shared" si="2"/>
        <v>364.77195045258645</v>
      </c>
    </row>
    <row r="26" spans="2:33" x14ac:dyDescent="0.3">
      <c r="B26" s="128">
        <v>15</v>
      </c>
      <c r="C26" s="144">
        <v>303</v>
      </c>
      <c r="D26" s="145">
        <v>207</v>
      </c>
      <c r="E26" s="146">
        <v>296</v>
      </c>
      <c r="F26" s="151">
        <v>23.1</v>
      </c>
      <c r="G26" s="133">
        <v>10.199999999999999</v>
      </c>
      <c r="H26" s="130">
        <v>221</v>
      </c>
      <c r="I26" s="134">
        <f t="shared" si="0"/>
        <v>416.19897398393164</v>
      </c>
      <c r="J26" s="134">
        <f t="shared" si="1"/>
        <v>224.65431810537547</v>
      </c>
      <c r="K26" s="135">
        <f t="shared" si="2"/>
        <v>504.56835913574309</v>
      </c>
    </row>
    <row r="27" spans="2:33" ht="23.4" customHeight="1" x14ac:dyDescent="0.3">
      <c r="B27" s="128">
        <v>16</v>
      </c>
      <c r="C27" s="144">
        <v>286</v>
      </c>
      <c r="D27" s="145">
        <v>198</v>
      </c>
      <c r="E27" s="146">
        <v>285</v>
      </c>
      <c r="F27" s="151">
        <v>24</v>
      </c>
      <c r="G27" s="133">
        <v>9.6</v>
      </c>
      <c r="H27" s="130">
        <v>178</v>
      </c>
      <c r="I27" s="134">
        <f t="shared" si="0"/>
        <v>332.43744620762897</v>
      </c>
      <c r="J27" s="134">
        <f t="shared" si="1"/>
        <v>217.0334042980507</v>
      </c>
      <c r="K27" s="135">
        <f t="shared" si="2"/>
        <v>254.27420900343577</v>
      </c>
      <c r="M27" s="186" t="s">
        <v>481</v>
      </c>
      <c r="N27" s="186"/>
      <c r="O27" s="186"/>
      <c r="P27" s="186"/>
    </row>
    <row r="28" spans="2:33" x14ac:dyDescent="0.3">
      <c r="B28" s="128">
        <v>17</v>
      </c>
      <c r="C28" s="144">
        <v>369</v>
      </c>
      <c r="D28" s="145">
        <v>226</v>
      </c>
      <c r="E28" s="146">
        <v>383</v>
      </c>
      <c r="F28" s="151">
        <v>17.7</v>
      </c>
      <c r="G28" s="133">
        <v>9.3000000000000007</v>
      </c>
      <c r="H28" s="130">
        <v>224</v>
      </c>
      <c r="I28" s="134">
        <f t="shared" si="0"/>
        <v>439.37792628033333</v>
      </c>
      <c r="J28" s="134">
        <f t="shared" si="1"/>
        <v>227.32507794408437</v>
      </c>
      <c r="K28" s="135">
        <f t="shared" si="2"/>
        <v>594.11545081495376</v>
      </c>
    </row>
    <row r="29" spans="2:33" x14ac:dyDescent="0.3">
      <c r="B29" s="128">
        <v>18</v>
      </c>
      <c r="C29" s="144">
        <v>443</v>
      </c>
      <c r="D29" s="145">
        <v>227</v>
      </c>
      <c r="E29" s="146">
        <v>392</v>
      </c>
      <c r="F29" s="151">
        <v>20.6</v>
      </c>
      <c r="G29" s="133">
        <v>7.8</v>
      </c>
      <c r="H29" s="130">
        <v>180</v>
      </c>
      <c r="I29" s="134">
        <f t="shared" si="0"/>
        <v>365.41188128640869</v>
      </c>
      <c r="J29" s="134">
        <f t="shared" si="1"/>
        <v>219.91458837325999</v>
      </c>
      <c r="K29" s="135">
        <f t="shared" si="2"/>
        <v>371.19498735200796</v>
      </c>
    </row>
    <row r="30" spans="2:33" x14ac:dyDescent="0.3">
      <c r="B30" s="128">
        <v>19</v>
      </c>
      <c r="C30" s="144">
        <v>420</v>
      </c>
      <c r="D30" s="145">
        <v>217</v>
      </c>
      <c r="E30" s="146">
        <v>375</v>
      </c>
      <c r="F30" s="151">
        <v>20.6</v>
      </c>
      <c r="G30" s="133">
        <v>5.5</v>
      </c>
      <c r="H30" s="130">
        <v>161</v>
      </c>
      <c r="I30" s="134">
        <f t="shared" si="0"/>
        <v>358.59378199148085</v>
      </c>
      <c r="J30" s="134">
        <f t="shared" si="1"/>
        <v>218.58467827389737</v>
      </c>
      <c r="K30" s="135">
        <f t="shared" si="2"/>
        <v>361.27850036547966</v>
      </c>
      <c r="M30" t="s">
        <v>492</v>
      </c>
    </row>
    <row r="31" spans="2:33" x14ac:dyDescent="0.3">
      <c r="B31" s="128">
        <v>20</v>
      </c>
      <c r="C31" s="144">
        <v>322</v>
      </c>
      <c r="D31" s="145">
        <v>218</v>
      </c>
      <c r="E31" s="146">
        <v>329</v>
      </c>
      <c r="F31" s="151">
        <v>15.2</v>
      </c>
      <c r="G31" s="133">
        <v>7.4</v>
      </c>
      <c r="H31" s="130">
        <v>165</v>
      </c>
      <c r="I31" s="134">
        <f t="shared" si="0"/>
        <v>342.72379125146603</v>
      </c>
      <c r="J31" s="134">
        <f t="shared" si="1"/>
        <v>218.76459143502362</v>
      </c>
      <c r="K31" s="135">
        <f t="shared" si="2"/>
        <v>321.392180932928</v>
      </c>
    </row>
    <row r="32" spans="2:33" ht="25.2" customHeight="1" x14ac:dyDescent="0.3">
      <c r="B32" s="128">
        <v>21</v>
      </c>
      <c r="C32" s="144">
        <v>167</v>
      </c>
      <c r="D32" s="145">
        <v>201</v>
      </c>
      <c r="E32" s="146">
        <v>336</v>
      </c>
      <c r="F32" s="151">
        <v>26.3</v>
      </c>
      <c r="G32" s="133">
        <v>6</v>
      </c>
      <c r="H32" s="130">
        <v>167</v>
      </c>
      <c r="I32" s="134">
        <f t="shared" si="0"/>
        <v>360.35925888333861</v>
      </c>
      <c r="J32" s="134">
        <f t="shared" si="1"/>
        <v>217.89805582848979</v>
      </c>
      <c r="K32" s="135">
        <f t="shared" si="2"/>
        <v>347.19918324740115</v>
      </c>
      <c r="M32" s="110" t="s">
        <v>484</v>
      </c>
      <c r="W32" s="110" t="s">
        <v>486</v>
      </c>
      <c r="AG32" s="110" t="s">
        <v>483</v>
      </c>
    </row>
    <row r="33" spans="2:41" x14ac:dyDescent="0.3">
      <c r="B33" s="128">
        <v>22</v>
      </c>
      <c r="C33" s="144">
        <v>443</v>
      </c>
      <c r="D33" s="145">
        <v>222</v>
      </c>
      <c r="E33" s="146">
        <v>364</v>
      </c>
      <c r="F33" s="151">
        <v>32.5</v>
      </c>
      <c r="G33" s="133">
        <v>6.3</v>
      </c>
      <c r="H33" s="130">
        <v>176</v>
      </c>
      <c r="I33" s="134">
        <f t="shared" si="0"/>
        <v>371.15939924793003</v>
      </c>
      <c r="J33" s="134">
        <f t="shared" si="1"/>
        <v>217.84370272108345</v>
      </c>
      <c r="K33" s="135">
        <f t="shared" si="2"/>
        <v>359.53157850756793</v>
      </c>
      <c r="M33" t="s">
        <v>23</v>
      </c>
      <c r="W33" t="s">
        <v>23</v>
      </c>
      <c r="AG33" t="s">
        <v>23</v>
      </c>
    </row>
    <row r="34" spans="2:41" ht="15" thickBot="1" x14ac:dyDescent="0.35">
      <c r="B34" s="24">
        <v>23</v>
      </c>
      <c r="C34" s="147">
        <v>316</v>
      </c>
      <c r="D34" s="129">
        <v>209</v>
      </c>
      <c r="E34" s="148">
        <v>305</v>
      </c>
      <c r="F34" s="152">
        <v>15.4</v>
      </c>
      <c r="G34" s="131">
        <v>10.1</v>
      </c>
      <c r="H34" s="132">
        <v>145</v>
      </c>
      <c r="I34" s="134">
        <f t="shared" si="0"/>
        <v>260.08484084829996</v>
      </c>
      <c r="J34" s="134">
        <f t="shared" si="1"/>
        <v>212.42298406053365</v>
      </c>
      <c r="K34" s="135">
        <f t="shared" si="2"/>
        <v>61.543184114566088</v>
      </c>
    </row>
    <row r="35" spans="2:41" x14ac:dyDescent="0.3">
      <c r="M35" s="12" t="s">
        <v>24</v>
      </c>
      <c r="N35" s="12"/>
      <c r="W35" s="12" t="s">
        <v>24</v>
      </c>
      <c r="X35" s="12"/>
      <c r="AG35" s="12" t="s">
        <v>24</v>
      </c>
      <c r="AH35" s="12"/>
    </row>
    <row r="36" spans="2:41" x14ac:dyDescent="0.3">
      <c r="M36" s="9" t="s">
        <v>25</v>
      </c>
      <c r="N36" s="9">
        <v>0.75700662208553426</v>
      </c>
      <c r="W36" s="9" t="s">
        <v>25</v>
      </c>
      <c r="X36" s="9">
        <v>0.53850305294171041</v>
      </c>
      <c r="AG36" s="9" t="s">
        <v>25</v>
      </c>
      <c r="AH36" s="9">
        <v>0.84538230957444926</v>
      </c>
    </row>
    <row r="37" spans="2:41" x14ac:dyDescent="0.3">
      <c r="M37" s="9" t="s">
        <v>26</v>
      </c>
      <c r="N37" s="9">
        <v>0.57305902588135083</v>
      </c>
      <c r="W37" s="9" t="s">
        <v>26</v>
      </c>
      <c r="X37" s="9">
        <v>0.28998553802754251</v>
      </c>
      <c r="AG37" s="9" t="s">
        <v>26</v>
      </c>
      <c r="AH37" s="9">
        <v>0.71467124934143</v>
      </c>
    </row>
    <row r="38" spans="2:41" x14ac:dyDescent="0.3">
      <c r="M38" s="9" t="s">
        <v>27</v>
      </c>
      <c r="N38" s="9">
        <v>0.50564729312577461</v>
      </c>
      <c r="W38" s="9" t="s">
        <v>27</v>
      </c>
      <c r="X38" s="9">
        <v>0.17787799140031238</v>
      </c>
      <c r="AG38" s="9" t="s">
        <v>27</v>
      </c>
      <c r="AH38" s="9">
        <v>0.6696193413427084</v>
      </c>
    </row>
    <row r="39" spans="2:41" x14ac:dyDescent="0.3">
      <c r="M39" s="9" t="s">
        <v>28</v>
      </c>
      <c r="N39" s="9">
        <v>72.233089828692002</v>
      </c>
      <c r="W39" s="9" t="s">
        <v>28</v>
      </c>
      <c r="X39" s="9">
        <v>11.442120323435425</v>
      </c>
      <c r="AG39" s="9" t="s">
        <v>28</v>
      </c>
      <c r="AH39" s="9">
        <v>164.46919536187872</v>
      </c>
    </row>
    <row r="40" spans="2:41" ht="15" thickBot="1" x14ac:dyDescent="0.35">
      <c r="M40" s="10" t="s">
        <v>29</v>
      </c>
      <c r="N40" s="10">
        <v>23</v>
      </c>
      <c r="W40" s="10" t="s">
        <v>29</v>
      </c>
      <c r="X40" s="10">
        <v>23</v>
      </c>
      <c r="AG40" s="10" t="s">
        <v>29</v>
      </c>
      <c r="AH40" s="10">
        <v>23</v>
      </c>
    </row>
    <row r="42" spans="2:41" ht="15" thickBot="1" x14ac:dyDescent="0.35">
      <c r="M42" t="s">
        <v>30</v>
      </c>
      <c r="W42" t="s">
        <v>30</v>
      </c>
      <c r="AG42" t="s">
        <v>30</v>
      </c>
    </row>
    <row r="43" spans="2:41" x14ac:dyDescent="0.3">
      <c r="M43" s="11"/>
      <c r="N43" s="11" t="s">
        <v>35</v>
      </c>
      <c r="O43" s="11" t="s">
        <v>36</v>
      </c>
      <c r="P43" s="11" t="s">
        <v>37</v>
      </c>
      <c r="Q43" s="11" t="s">
        <v>38</v>
      </c>
      <c r="R43" s="11" t="s">
        <v>39</v>
      </c>
      <c r="W43" s="11"/>
      <c r="X43" s="11" t="s">
        <v>35</v>
      </c>
      <c r="Y43" s="11" t="s">
        <v>36</v>
      </c>
      <c r="Z43" s="11" t="s">
        <v>37</v>
      </c>
      <c r="AA43" s="11" t="s">
        <v>38</v>
      </c>
      <c r="AB43" s="11" t="s">
        <v>39</v>
      </c>
      <c r="AG43" s="11"/>
      <c r="AH43" s="11" t="s">
        <v>35</v>
      </c>
      <c r="AI43" s="11" t="s">
        <v>36</v>
      </c>
      <c r="AJ43" s="11" t="s">
        <v>37</v>
      </c>
      <c r="AK43" s="11" t="s">
        <v>38</v>
      </c>
      <c r="AL43" s="11" t="s">
        <v>39</v>
      </c>
    </row>
    <row r="44" spans="2:41" x14ac:dyDescent="0.3">
      <c r="M44" s="9" t="s">
        <v>31</v>
      </c>
      <c r="N44" s="9">
        <v>3</v>
      </c>
      <c r="O44" s="9">
        <v>133063.0600291586</v>
      </c>
      <c r="P44" s="9">
        <v>44354.35334305287</v>
      </c>
      <c r="Q44" s="9">
        <v>8.5008796311343655</v>
      </c>
      <c r="R44" s="9">
        <v>8.7130852622115823E-4</v>
      </c>
      <c r="W44" s="9" t="s">
        <v>31</v>
      </c>
      <c r="X44" s="9">
        <v>3</v>
      </c>
      <c r="Y44" s="9">
        <v>1015.9580284460599</v>
      </c>
      <c r="Z44" s="9">
        <v>338.65267614868662</v>
      </c>
      <c r="AA44" s="9">
        <v>2.5866727687099971</v>
      </c>
      <c r="AB44" s="9">
        <v>8.320730652085323E-2</v>
      </c>
      <c r="AG44" s="9" t="s">
        <v>31</v>
      </c>
      <c r="AH44" s="9">
        <v>3</v>
      </c>
      <c r="AI44" s="9">
        <v>1287311.0961111332</v>
      </c>
      <c r="AJ44" s="9">
        <v>429103.6987037111</v>
      </c>
      <c r="AK44" s="9">
        <v>15.863284843823042</v>
      </c>
      <c r="AL44" s="9">
        <v>2.0833487969841673E-5</v>
      </c>
    </row>
    <row r="45" spans="2:41" x14ac:dyDescent="0.3">
      <c r="M45" s="9" t="s">
        <v>32</v>
      </c>
      <c r="N45" s="9">
        <v>19</v>
      </c>
      <c r="O45" s="9">
        <v>99134.766057797882</v>
      </c>
      <c r="P45" s="9">
        <v>5217.6192661998884</v>
      </c>
      <c r="Q45" s="9"/>
      <c r="R45" s="9"/>
      <c r="W45" s="9" t="s">
        <v>32</v>
      </c>
      <c r="X45" s="9">
        <v>19</v>
      </c>
      <c r="Y45" s="9">
        <v>2487.5202324235056</v>
      </c>
      <c r="Z45" s="9">
        <v>130.92211749597399</v>
      </c>
      <c r="AA45" s="9"/>
      <c r="AB45" s="9"/>
      <c r="AG45" s="9" t="s">
        <v>32</v>
      </c>
      <c r="AH45" s="9">
        <v>19</v>
      </c>
      <c r="AI45" s="9">
        <v>513952.20823669271</v>
      </c>
      <c r="AJ45" s="9">
        <v>27050.116222983826</v>
      </c>
      <c r="AK45" s="9"/>
      <c r="AL45" s="9"/>
    </row>
    <row r="46" spans="2:41" ht="15" thickBot="1" x14ac:dyDescent="0.35">
      <c r="M46" s="10" t="s">
        <v>33</v>
      </c>
      <c r="N46" s="10">
        <v>22</v>
      </c>
      <c r="O46" s="10">
        <v>232197.82608695648</v>
      </c>
      <c r="P46" s="10"/>
      <c r="Q46" s="10"/>
      <c r="R46" s="10"/>
      <c r="W46" s="10" t="s">
        <v>33</v>
      </c>
      <c r="X46" s="10">
        <v>22</v>
      </c>
      <c r="Y46" s="10">
        <v>3503.4782608695655</v>
      </c>
      <c r="Z46" s="10"/>
      <c r="AA46" s="10"/>
      <c r="AB46" s="10"/>
      <c r="AG46" s="10" t="s">
        <v>33</v>
      </c>
      <c r="AH46" s="10">
        <v>22</v>
      </c>
      <c r="AI46" s="10">
        <v>1801263.3043478259</v>
      </c>
      <c r="AJ46" s="10"/>
      <c r="AK46" s="10"/>
      <c r="AL46" s="10"/>
    </row>
    <row r="47" spans="2:41" ht="15" thickBot="1" x14ac:dyDescent="0.35"/>
    <row r="48" spans="2:41" x14ac:dyDescent="0.3">
      <c r="M48" s="11"/>
      <c r="N48" s="11" t="s">
        <v>40</v>
      </c>
      <c r="O48" s="11" t="s">
        <v>28</v>
      </c>
      <c r="P48" s="11" t="s">
        <v>41</v>
      </c>
      <c r="Q48" s="11" t="s">
        <v>42</v>
      </c>
      <c r="R48" s="11" t="s">
        <v>43</v>
      </c>
      <c r="S48" s="11" t="s">
        <v>44</v>
      </c>
      <c r="T48" s="11" t="s">
        <v>45</v>
      </c>
      <c r="U48" s="11" t="s">
        <v>46</v>
      </c>
      <c r="W48" s="11"/>
      <c r="X48" s="11" t="s">
        <v>40</v>
      </c>
      <c r="Y48" s="11" t="s">
        <v>28</v>
      </c>
      <c r="Z48" s="11" t="s">
        <v>41</v>
      </c>
      <c r="AA48" s="11" t="s">
        <v>42</v>
      </c>
      <c r="AB48" s="11" t="s">
        <v>43</v>
      </c>
      <c r="AC48" s="11" t="s">
        <v>44</v>
      </c>
      <c r="AD48" s="11" t="s">
        <v>45</v>
      </c>
      <c r="AE48" s="11" t="s">
        <v>46</v>
      </c>
      <c r="AG48" s="11"/>
      <c r="AH48" s="11" t="s">
        <v>40</v>
      </c>
      <c r="AI48" s="11" t="s">
        <v>28</v>
      </c>
      <c r="AJ48" s="11" t="s">
        <v>41</v>
      </c>
      <c r="AK48" s="11" t="s">
        <v>42</v>
      </c>
      <c r="AL48" s="11" t="s">
        <v>43</v>
      </c>
      <c r="AM48" s="11" t="s">
        <v>44</v>
      </c>
      <c r="AN48" s="11" t="s">
        <v>45</v>
      </c>
      <c r="AO48" s="11" t="s">
        <v>46</v>
      </c>
    </row>
    <row r="49" spans="13:41" x14ac:dyDescent="0.3">
      <c r="M49" s="9" t="s">
        <v>34</v>
      </c>
      <c r="N49" s="9">
        <v>108.46419927716698</v>
      </c>
      <c r="O49" s="9">
        <v>123.92039484184404</v>
      </c>
      <c r="P49" s="9">
        <v>0.87527318982155156</v>
      </c>
      <c r="Q49" s="9">
        <v>0.39235600842641594</v>
      </c>
      <c r="R49" s="9">
        <v>-150.904167958588</v>
      </c>
      <c r="S49" s="9">
        <v>367.83256651292197</v>
      </c>
      <c r="T49" s="9">
        <v>-150.904167958588</v>
      </c>
      <c r="U49" s="9">
        <v>367.83256651292197</v>
      </c>
      <c r="W49" s="9" t="s">
        <v>34</v>
      </c>
      <c r="X49" s="9">
        <v>198.7238373754391</v>
      </c>
      <c r="Y49" s="9">
        <v>19.629674871595913</v>
      </c>
      <c r="Z49" s="9">
        <v>10.123643854284717</v>
      </c>
      <c r="AA49" s="9">
        <v>4.3162575096466198E-9</v>
      </c>
      <c r="AB49" s="9">
        <v>157.63845568897452</v>
      </c>
      <c r="AC49" s="9">
        <v>239.80921906190369</v>
      </c>
      <c r="AD49" s="9">
        <v>157.63845568897452</v>
      </c>
      <c r="AE49" s="9">
        <v>239.80921906190369</v>
      </c>
      <c r="AG49" s="9" t="s">
        <v>34</v>
      </c>
      <c r="AH49" s="9">
        <v>-299.50050747740443</v>
      </c>
      <c r="AI49" s="9">
        <v>282.15721737641542</v>
      </c>
      <c r="AJ49" s="9">
        <v>-1.0614667604899575</v>
      </c>
      <c r="AK49" s="9">
        <v>0.30178467773622092</v>
      </c>
      <c r="AL49" s="9">
        <v>-890.06235057115623</v>
      </c>
      <c r="AM49" s="9">
        <v>291.06133561634738</v>
      </c>
      <c r="AN49" s="9">
        <v>-890.06235057115623</v>
      </c>
      <c r="AO49" s="9">
        <v>291.06133561634738</v>
      </c>
    </row>
    <row r="50" spans="13:41" x14ac:dyDescent="0.3">
      <c r="M50" s="9" t="s">
        <v>476</v>
      </c>
      <c r="N50" s="9">
        <v>-0.65206183355170466</v>
      </c>
      <c r="O50" s="9">
        <v>3.2064740748880687</v>
      </c>
      <c r="P50" s="9">
        <v>-0.20335789977483812</v>
      </c>
      <c r="Q50" s="9">
        <v>0.84101738729831088</v>
      </c>
      <c r="R50" s="9">
        <v>-7.3632892021290646</v>
      </c>
      <c r="S50" s="9">
        <v>6.059165535025655</v>
      </c>
      <c r="T50" s="9">
        <v>-7.3632892021290646</v>
      </c>
      <c r="U50" s="9">
        <v>6.059165535025655</v>
      </c>
      <c r="W50" s="9" t="s">
        <v>476</v>
      </c>
      <c r="X50" s="9">
        <v>-0.23209339883659474</v>
      </c>
      <c r="Y50" s="9">
        <v>0.50792320065300922</v>
      </c>
      <c r="Z50" s="9">
        <v>-0.45694585035337015</v>
      </c>
      <c r="AA50" s="9">
        <v>0.6528911667473577</v>
      </c>
      <c r="AB50" s="9">
        <v>-1.2951888755954015</v>
      </c>
      <c r="AC50" s="9">
        <v>0.83100207792221203</v>
      </c>
      <c r="AD50" s="9">
        <v>-1.2951888755954015</v>
      </c>
      <c r="AE50" s="9">
        <v>0.83100207792221203</v>
      </c>
      <c r="AG50" s="9" t="s">
        <v>476</v>
      </c>
      <c r="AH50" s="9">
        <v>-4.9455059696384236</v>
      </c>
      <c r="AI50" s="9">
        <v>7.3008950924883145</v>
      </c>
      <c r="AJ50" s="9">
        <v>-0.67738351352654214</v>
      </c>
      <c r="AK50" s="9">
        <v>0.50632778214633523</v>
      </c>
      <c r="AL50" s="9">
        <v>-20.226455016928046</v>
      </c>
      <c r="AM50" s="9">
        <v>10.335443077651199</v>
      </c>
      <c r="AN50" s="9">
        <v>-20.226455016928046</v>
      </c>
      <c r="AO50" s="9">
        <v>10.335443077651199</v>
      </c>
    </row>
    <row r="51" spans="13:41" x14ac:dyDescent="0.3">
      <c r="M51" s="9" t="s">
        <v>477</v>
      </c>
      <c r="N51" s="9">
        <v>-14.710177151018527</v>
      </c>
      <c r="O51" s="9">
        <v>6.7225798846377254</v>
      </c>
      <c r="P51" s="9">
        <v>-2.1881743918928898</v>
      </c>
      <c r="Q51" s="9">
        <v>4.1354449822122274E-2</v>
      </c>
      <c r="R51" s="9">
        <v>-28.780698557246726</v>
      </c>
      <c r="S51" s="9">
        <v>-0.63965574479032838</v>
      </c>
      <c r="T51" s="9">
        <v>-28.780698557246726</v>
      </c>
      <c r="U51" s="9">
        <v>-0.63965574479032838</v>
      </c>
      <c r="W51" s="9" t="s">
        <v>477</v>
      </c>
      <c r="X51" s="9">
        <v>-0.95591349653111268</v>
      </c>
      <c r="Y51" s="9">
        <v>1.0648937779950476</v>
      </c>
      <c r="Z51" s="9">
        <v>-0.89766089001935956</v>
      </c>
      <c r="AA51" s="9">
        <v>0.38060077521186775</v>
      </c>
      <c r="AB51" s="9">
        <v>-3.1847617892644893</v>
      </c>
      <c r="AC51" s="9">
        <v>1.2729347962022641</v>
      </c>
      <c r="AD51" s="9">
        <v>-3.1847617892644893</v>
      </c>
      <c r="AE51" s="9">
        <v>1.2729347962022641</v>
      </c>
      <c r="AG51" s="9" t="s">
        <v>477</v>
      </c>
      <c r="AH51" s="9">
        <v>-48.509848685854976</v>
      </c>
      <c r="AI51" s="9">
        <v>15.306797854065151</v>
      </c>
      <c r="AJ51" s="9">
        <v>-3.1691702698596638</v>
      </c>
      <c r="AK51" s="9">
        <v>5.0512288933396658E-3</v>
      </c>
      <c r="AL51" s="9">
        <v>-80.54734479037883</v>
      </c>
      <c r="AM51" s="9">
        <v>-16.472352581331123</v>
      </c>
      <c r="AN51" s="9">
        <v>-80.54734479037883</v>
      </c>
      <c r="AO51" s="9">
        <v>-16.472352581331123</v>
      </c>
    </row>
    <row r="52" spans="13:41" ht="15" thickBot="1" x14ac:dyDescent="0.35">
      <c r="M52" s="10" t="s">
        <v>478</v>
      </c>
      <c r="N52" s="10">
        <v>2.1395529864352851</v>
      </c>
      <c r="O52" s="10">
        <v>0.47211335321336328</v>
      </c>
      <c r="P52" s="10">
        <v>4.5318628924023505</v>
      </c>
      <c r="Q52" s="10">
        <v>2.2808886131231649E-4</v>
      </c>
      <c r="R52" s="10">
        <v>1.1514083817523493</v>
      </c>
      <c r="S52" s="10">
        <v>3.127697591118221</v>
      </c>
      <c r="T52" s="10">
        <v>1.1514083817523493</v>
      </c>
      <c r="U52" s="10">
        <v>3.127697591118221</v>
      </c>
      <c r="W52" s="10" t="s">
        <v>478</v>
      </c>
      <c r="X52" s="10">
        <v>0.18571111270443005</v>
      </c>
      <c r="Y52" s="10">
        <v>7.4785362312192391E-2</v>
      </c>
      <c r="Z52" s="10">
        <v>2.4832548370786358</v>
      </c>
      <c r="AA52" s="10">
        <v>2.2520693664850149E-2</v>
      </c>
      <c r="AB52" s="10">
        <v>2.9183550467370728E-2</v>
      </c>
      <c r="AC52" s="10">
        <v>0.34223867494148941</v>
      </c>
      <c r="AD52" s="10">
        <v>2.9183550467370728E-2</v>
      </c>
      <c r="AE52" s="10">
        <v>0.34223867494148941</v>
      </c>
      <c r="AG52" s="10" t="s">
        <v>478</v>
      </c>
      <c r="AH52" s="10">
        <v>6.3941652086312928</v>
      </c>
      <c r="AI52" s="10">
        <v>1.0749658294661149</v>
      </c>
      <c r="AJ52" s="10">
        <v>5.9482497334887148</v>
      </c>
      <c r="AK52" s="10">
        <v>1.0023525219389638E-5</v>
      </c>
      <c r="AL52" s="10">
        <v>4.1442358698917339</v>
      </c>
      <c r="AM52" s="10">
        <v>8.6440945473708517</v>
      </c>
      <c r="AN52" s="10">
        <v>4.1442358698917339</v>
      </c>
      <c r="AO52" s="10">
        <v>8.6440945473708517</v>
      </c>
    </row>
    <row r="56" spans="13:41" x14ac:dyDescent="0.3">
      <c r="M56" t="s">
        <v>47</v>
      </c>
      <c r="W56" t="s">
        <v>47</v>
      </c>
      <c r="AG56" t="s">
        <v>47</v>
      </c>
    </row>
    <row r="57" spans="13:41" ht="15" thickBot="1" x14ac:dyDescent="0.35"/>
    <row r="58" spans="13:41" x14ac:dyDescent="0.3">
      <c r="M58" s="11" t="s">
        <v>48</v>
      </c>
      <c r="N58" s="11" t="s">
        <v>482</v>
      </c>
      <c r="O58" s="11" t="s">
        <v>49</v>
      </c>
      <c r="W58" s="11" t="s">
        <v>48</v>
      </c>
      <c r="X58" s="11" t="s">
        <v>485</v>
      </c>
      <c r="Y58" s="11" t="s">
        <v>49</v>
      </c>
      <c r="AG58" s="11" t="s">
        <v>48</v>
      </c>
      <c r="AH58" s="11" t="s">
        <v>487</v>
      </c>
      <c r="AI58" s="11" t="s">
        <v>49</v>
      </c>
    </row>
    <row r="59" spans="13:41" x14ac:dyDescent="0.3">
      <c r="M59" s="9">
        <v>1</v>
      </c>
      <c r="N59" s="9">
        <v>338.0242106533276</v>
      </c>
      <c r="O59" s="9">
        <v>-3.0242106533276001</v>
      </c>
      <c r="W59" s="9">
        <v>1</v>
      </c>
      <c r="X59" s="9">
        <v>217.73794646491592</v>
      </c>
      <c r="Y59" s="9">
        <v>22.262053535084078</v>
      </c>
      <c r="AG59" s="9">
        <v>1</v>
      </c>
      <c r="AH59" s="9">
        <v>277.72907435454135</v>
      </c>
      <c r="AI59" s="9">
        <v>64.270925645458647</v>
      </c>
    </row>
    <row r="60" spans="13:41" x14ac:dyDescent="0.3">
      <c r="M60" s="9">
        <v>2</v>
      </c>
      <c r="N60" s="9">
        <v>350.14117180557764</v>
      </c>
      <c r="O60" s="9">
        <v>28.858828194422358</v>
      </c>
      <c r="W60" s="9">
        <v>2</v>
      </c>
      <c r="X60" s="9">
        <v>220.21473557604489</v>
      </c>
      <c r="Y60" s="9">
        <v>5.7852644239551125</v>
      </c>
      <c r="AG60" s="9">
        <v>2</v>
      </c>
      <c r="AH60" s="9">
        <v>310.19798095021372</v>
      </c>
      <c r="AI60" s="9">
        <v>12.802019049786281</v>
      </c>
    </row>
    <row r="61" spans="13:41" x14ac:dyDescent="0.3">
      <c r="M61" s="9">
        <v>3</v>
      </c>
      <c r="N61" s="9">
        <v>291.2778492315461</v>
      </c>
      <c r="O61" s="9">
        <v>51.722150768453901</v>
      </c>
      <c r="W61" s="9">
        <v>3</v>
      </c>
      <c r="X61" s="9">
        <v>214.12622285468404</v>
      </c>
      <c r="Y61" s="9">
        <v>6.8737771453159553</v>
      </c>
      <c r="AG61" s="9">
        <v>3</v>
      </c>
      <c r="AH61" s="9">
        <v>89.482664711532152</v>
      </c>
      <c r="AI61" s="9">
        <v>222.51733528846785</v>
      </c>
    </row>
    <row r="62" spans="13:41" x14ac:dyDescent="0.3">
      <c r="M62" s="9">
        <v>4</v>
      </c>
      <c r="N62" s="9">
        <v>405.66085894360236</v>
      </c>
      <c r="O62" s="9">
        <v>-14.660858943602364</v>
      </c>
      <c r="W62" s="9">
        <v>4</v>
      </c>
      <c r="X62" s="9">
        <v>224.28814792701749</v>
      </c>
      <c r="Y62" s="9">
        <v>1.7118520729825093</v>
      </c>
      <c r="AG62" s="9">
        <v>4</v>
      </c>
      <c r="AH62" s="9">
        <v>501.49410686585509</v>
      </c>
      <c r="AI62" s="9">
        <v>-68.494106865855088</v>
      </c>
    </row>
    <row r="63" spans="13:41" x14ac:dyDescent="0.3">
      <c r="M63" s="9">
        <v>5</v>
      </c>
      <c r="N63" s="9">
        <v>365.45845436180093</v>
      </c>
      <c r="O63" s="9">
        <v>41.541545638199068</v>
      </c>
      <c r="W63" s="9">
        <v>5</v>
      </c>
      <c r="X63" s="9">
        <v>219.02863043909625</v>
      </c>
      <c r="Y63" s="9">
        <v>0.97136956090375293</v>
      </c>
      <c r="AG63" s="9">
        <v>5</v>
      </c>
      <c r="AH63" s="9">
        <v>346.10863435332953</v>
      </c>
      <c r="AI63" s="9">
        <v>68.891365646670465</v>
      </c>
    </row>
    <row r="64" spans="13:41" x14ac:dyDescent="0.3">
      <c r="M64" s="9">
        <v>6</v>
      </c>
      <c r="N64" s="9">
        <v>669.44385760908904</v>
      </c>
      <c r="O64" s="9">
        <v>57.556142390910964</v>
      </c>
      <c r="W64" s="9">
        <v>6</v>
      </c>
      <c r="X64" s="9">
        <v>246.75100102568848</v>
      </c>
      <c r="Y64" s="9">
        <v>3.2489989743115189</v>
      </c>
      <c r="AG64" s="9">
        <v>6</v>
      </c>
      <c r="AH64" s="9">
        <v>1313.510942966609</v>
      </c>
      <c r="AI64" s="9">
        <v>394.48905703339096</v>
      </c>
    </row>
    <row r="65" spans="13:35" x14ac:dyDescent="0.3">
      <c r="M65" s="9">
        <v>7</v>
      </c>
      <c r="N65" s="9">
        <v>416.85388305543626</v>
      </c>
      <c r="O65" s="9">
        <v>65.146116944563744</v>
      </c>
      <c r="W65" s="9">
        <v>7</v>
      </c>
      <c r="X65" s="9">
        <v>225.34644853101997</v>
      </c>
      <c r="Y65" s="9">
        <v>11.653551468980027</v>
      </c>
      <c r="AG65" s="9">
        <v>7</v>
      </c>
      <c r="AH65" s="9">
        <v>524.39324121528193</v>
      </c>
      <c r="AI65" s="9">
        <v>-155.39324121528193</v>
      </c>
    </row>
    <row r="66" spans="13:35" x14ac:dyDescent="0.3">
      <c r="M66" s="9">
        <v>8</v>
      </c>
      <c r="N66" s="9">
        <v>344.44338263570319</v>
      </c>
      <c r="O66" s="9">
        <v>1.5566173642968124</v>
      </c>
      <c r="W66" s="9">
        <v>8</v>
      </c>
      <c r="X66" s="9">
        <v>218.37282304075498</v>
      </c>
      <c r="Y66" s="9">
        <v>13.62717695924502</v>
      </c>
      <c r="AG66" s="9">
        <v>8</v>
      </c>
      <c r="AH66" s="9">
        <v>318.29536369819346</v>
      </c>
      <c r="AI66" s="9">
        <v>85.704636301806545</v>
      </c>
    </row>
    <row r="67" spans="13:35" x14ac:dyDescent="0.3">
      <c r="M67" s="9">
        <v>9</v>
      </c>
      <c r="N67" s="9">
        <v>429.33108955766699</v>
      </c>
      <c r="O67" s="9">
        <v>-35.331089557666985</v>
      </c>
      <c r="W67" s="9">
        <v>9</v>
      </c>
      <c r="X67" s="9">
        <v>225.73296134501777</v>
      </c>
      <c r="Y67" s="9">
        <v>-10.73296134501777</v>
      </c>
      <c r="AG67" s="9">
        <v>9</v>
      </c>
      <c r="AH67" s="9">
        <v>580.87448895171701</v>
      </c>
      <c r="AI67" s="9">
        <v>-253.87448895171701</v>
      </c>
    </row>
    <row r="68" spans="13:35" x14ac:dyDescent="0.3">
      <c r="M68" s="9">
        <v>10</v>
      </c>
      <c r="N68" s="9">
        <v>338.34670676437884</v>
      </c>
      <c r="O68" s="9">
        <v>0.65329323562116315</v>
      </c>
      <c r="W68" s="9">
        <v>10</v>
      </c>
      <c r="X68" s="9">
        <v>217.98506002055106</v>
      </c>
      <c r="Y68" s="9">
        <v>2.0149399794489398</v>
      </c>
      <c r="AG68" s="9">
        <v>10</v>
      </c>
      <c r="AH68" s="9">
        <v>279.42630434479452</v>
      </c>
      <c r="AI68" s="9">
        <v>99.573695655205483</v>
      </c>
    </row>
    <row r="69" spans="13:35" x14ac:dyDescent="0.3">
      <c r="M69" s="9">
        <v>11</v>
      </c>
      <c r="N69" s="9">
        <v>364.41378029257476</v>
      </c>
      <c r="O69" s="9">
        <v>52.586219707425244</v>
      </c>
      <c r="W69" s="9">
        <v>11</v>
      </c>
      <c r="X69" s="9">
        <v>219.8394887670072</v>
      </c>
      <c r="Y69" s="9">
        <v>2.1605112329928033</v>
      </c>
      <c r="AG69" s="9">
        <v>11</v>
      </c>
      <c r="AH69" s="9">
        <v>366.40353103257667</v>
      </c>
      <c r="AI69" s="9">
        <v>-27.403531032576666</v>
      </c>
    </row>
    <row r="70" spans="13:35" x14ac:dyDescent="0.3">
      <c r="M70" s="9">
        <v>12</v>
      </c>
      <c r="N70" s="9">
        <v>407.89389655919001</v>
      </c>
      <c r="O70" s="9">
        <v>15.106103440809989</v>
      </c>
      <c r="W70" s="9">
        <v>12</v>
      </c>
      <c r="X70" s="9">
        <v>223.44853352987082</v>
      </c>
      <c r="Y70" s="9">
        <v>7.5514664701291849</v>
      </c>
      <c r="AG70" s="9">
        <v>12</v>
      </c>
      <c r="AH70" s="9">
        <v>514.58700662797992</v>
      </c>
      <c r="AI70" s="9">
        <v>-82.587006627979918</v>
      </c>
    </row>
    <row r="71" spans="13:35" x14ac:dyDescent="0.3">
      <c r="M71" s="9">
        <v>13</v>
      </c>
      <c r="N71" s="9">
        <v>456.84056387679988</v>
      </c>
      <c r="O71" s="9">
        <v>-6.8405638767998767</v>
      </c>
      <c r="W71" s="9">
        <v>13</v>
      </c>
      <c r="X71" s="9">
        <v>227.98492593238544</v>
      </c>
      <c r="Y71" s="9">
        <v>1.0150740676145631</v>
      </c>
      <c r="AG71" s="9">
        <v>13</v>
      </c>
      <c r="AH71" s="9">
        <v>609.62707600070439</v>
      </c>
      <c r="AI71" s="9">
        <v>-149.62707600070439</v>
      </c>
    </row>
    <row r="72" spans="13:35" x14ac:dyDescent="0.3">
      <c r="M72" s="9">
        <v>14</v>
      </c>
      <c r="N72" s="9">
        <v>363.52299467249003</v>
      </c>
      <c r="O72" s="9">
        <v>-77.522994672490029</v>
      </c>
      <c r="W72" s="9">
        <v>14</v>
      </c>
      <c r="X72" s="9">
        <v>221.70167350614656</v>
      </c>
      <c r="Y72" s="9">
        <v>-18.701673506146562</v>
      </c>
      <c r="AG72" s="9">
        <v>14</v>
      </c>
      <c r="AH72" s="9">
        <v>364.77195045258645</v>
      </c>
      <c r="AI72" s="9">
        <v>-100.77195045258645</v>
      </c>
    </row>
    <row r="73" spans="13:35" x14ac:dyDescent="0.3">
      <c r="M73" s="9">
        <v>15</v>
      </c>
      <c r="N73" s="9">
        <v>416.19897398393164</v>
      </c>
      <c r="O73" s="9">
        <v>-113.19897398393164</v>
      </c>
      <c r="W73" s="9">
        <v>15</v>
      </c>
      <c r="X73" s="9">
        <v>224.65431810537547</v>
      </c>
      <c r="Y73" s="9">
        <v>-17.654318105375467</v>
      </c>
      <c r="AG73" s="9">
        <v>15</v>
      </c>
      <c r="AH73" s="9">
        <v>504.56835913574309</v>
      </c>
      <c r="AI73" s="9">
        <v>-208.56835913574309</v>
      </c>
    </row>
    <row r="74" spans="13:35" x14ac:dyDescent="0.3">
      <c r="M74" s="9">
        <v>16</v>
      </c>
      <c r="N74" s="9">
        <v>332.43744620762897</v>
      </c>
      <c r="O74" s="9">
        <v>-46.437446207628966</v>
      </c>
      <c r="W74" s="9">
        <v>16</v>
      </c>
      <c r="X74" s="9">
        <v>217.0334042980507</v>
      </c>
      <c r="Y74" s="9">
        <v>-19.033404298050698</v>
      </c>
      <c r="AG74" s="9">
        <v>16</v>
      </c>
      <c r="AH74" s="9">
        <v>254.27420900343577</v>
      </c>
      <c r="AI74" s="9">
        <v>30.725790996564228</v>
      </c>
    </row>
    <row r="75" spans="13:35" x14ac:dyDescent="0.3">
      <c r="M75" s="9">
        <v>17</v>
      </c>
      <c r="N75" s="9">
        <v>439.37792628033333</v>
      </c>
      <c r="O75" s="9">
        <v>-70.377926280333327</v>
      </c>
      <c r="W75" s="9">
        <v>17</v>
      </c>
      <c r="X75" s="9">
        <v>227.32507794408437</v>
      </c>
      <c r="Y75" s="9">
        <v>-1.3250779440843701</v>
      </c>
      <c r="AG75" s="9">
        <v>17</v>
      </c>
      <c r="AH75" s="9">
        <v>594.11545081495376</v>
      </c>
      <c r="AI75" s="9">
        <v>-211.11545081495376</v>
      </c>
    </row>
    <row r="76" spans="13:35" x14ac:dyDescent="0.3">
      <c r="M76" s="9">
        <v>18</v>
      </c>
      <c r="N76" s="9">
        <v>365.41188128640869</v>
      </c>
      <c r="O76" s="9">
        <v>77.588118713591314</v>
      </c>
      <c r="W76" s="9">
        <v>18</v>
      </c>
      <c r="X76" s="9">
        <v>219.91458837325999</v>
      </c>
      <c r="Y76" s="9">
        <v>7.0854116267400116</v>
      </c>
      <c r="AG76" s="9">
        <v>18</v>
      </c>
      <c r="AH76" s="9">
        <v>371.19498735200796</v>
      </c>
      <c r="AI76" s="9">
        <v>20.805012647992044</v>
      </c>
    </row>
    <row r="77" spans="13:35" x14ac:dyDescent="0.3">
      <c r="M77" s="9">
        <v>19</v>
      </c>
      <c r="N77" s="9">
        <v>358.59378199148085</v>
      </c>
      <c r="O77" s="9">
        <v>61.406218008519147</v>
      </c>
      <c r="W77" s="9">
        <v>19</v>
      </c>
      <c r="X77" s="9">
        <v>218.58467827389737</v>
      </c>
      <c r="Y77" s="9">
        <v>-1.5846782738973673</v>
      </c>
      <c r="AG77" s="9">
        <v>19</v>
      </c>
      <c r="AH77" s="9">
        <v>361.27850036547966</v>
      </c>
      <c r="AI77" s="9">
        <v>13.721499634520342</v>
      </c>
    </row>
    <row r="78" spans="13:35" x14ac:dyDescent="0.3">
      <c r="M78" s="9">
        <v>20</v>
      </c>
      <c r="N78" s="9">
        <v>342.72379125146603</v>
      </c>
      <c r="O78" s="9">
        <v>-20.723791251466025</v>
      </c>
      <c r="W78" s="9">
        <v>20</v>
      </c>
      <c r="X78" s="9">
        <v>218.76459143502362</v>
      </c>
      <c r="Y78" s="9">
        <v>-0.76459143502361826</v>
      </c>
      <c r="AG78" s="9">
        <v>20</v>
      </c>
      <c r="AH78" s="9">
        <v>321.392180932928</v>
      </c>
      <c r="AI78" s="9">
        <v>7.6078190670720005</v>
      </c>
    </row>
    <row r="79" spans="13:35" x14ac:dyDescent="0.3">
      <c r="M79" s="9">
        <v>21</v>
      </c>
      <c r="N79" s="9">
        <v>360.35925888333861</v>
      </c>
      <c r="O79" s="9">
        <v>-193.35925888333861</v>
      </c>
      <c r="W79" s="9">
        <v>21</v>
      </c>
      <c r="X79" s="9">
        <v>217.89805582848979</v>
      </c>
      <c r="Y79" s="9">
        <v>-16.898055828489788</v>
      </c>
      <c r="AG79" s="9">
        <v>21</v>
      </c>
      <c r="AH79" s="9">
        <v>347.19918324740115</v>
      </c>
      <c r="AI79" s="9">
        <v>-11.199183247401152</v>
      </c>
    </row>
    <row r="80" spans="13:35" x14ac:dyDescent="0.3">
      <c r="M80" s="9">
        <v>22</v>
      </c>
      <c r="N80" s="9">
        <v>371.15939924793003</v>
      </c>
      <c r="O80" s="9">
        <v>71.840600752069975</v>
      </c>
      <c r="W80" s="9">
        <v>22</v>
      </c>
      <c r="X80" s="9">
        <v>217.84370272108345</v>
      </c>
      <c r="Y80" s="9">
        <v>4.1562972789165542</v>
      </c>
      <c r="AG80" s="9">
        <v>22</v>
      </c>
      <c r="AH80" s="9">
        <v>359.53157850756793</v>
      </c>
      <c r="AI80" s="9">
        <v>4.4684214924320713</v>
      </c>
    </row>
    <row r="81" spans="13:36" ht="15" thickBot="1" x14ac:dyDescent="0.35">
      <c r="M81" s="10">
        <v>23</v>
      </c>
      <c r="N81" s="10">
        <v>260.08484084829996</v>
      </c>
      <c r="O81" s="10">
        <v>55.915159151700038</v>
      </c>
      <c r="W81" s="10">
        <v>23</v>
      </c>
      <c r="X81" s="10">
        <v>212.42298406053365</v>
      </c>
      <c r="Y81" s="10">
        <v>-3.4229840605336506</v>
      </c>
      <c r="AG81" s="10">
        <v>23</v>
      </c>
      <c r="AH81" s="10">
        <v>61.543184114566088</v>
      </c>
      <c r="AI81" s="10">
        <v>243.45681588543391</v>
      </c>
    </row>
    <row r="85" spans="13:36" x14ac:dyDescent="0.3">
      <c r="M85" t="s">
        <v>493</v>
      </c>
    </row>
    <row r="87" spans="13:36" ht="24" customHeight="1" x14ac:dyDescent="0.3">
      <c r="M87" s="110" t="s">
        <v>495</v>
      </c>
      <c r="W87" s="110" t="s">
        <v>494</v>
      </c>
      <c r="AG87" s="110" t="s">
        <v>497</v>
      </c>
    </row>
    <row r="89" spans="13:36" ht="15.6" x14ac:dyDescent="0.3">
      <c r="M89" s="138" t="s">
        <v>473</v>
      </c>
      <c r="N89" s="149" t="s">
        <v>476</v>
      </c>
      <c r="O89" s="140" t="s">
        <v>477</v>
      </c>
      <c r="P89" s="142" t="s">
        <v>490</v>
      </c>
      <c r="W89" s="139" t="s">
        <v>474</v>
      </c>
      <c r="X89" s="140" t="s">
        <v>477</v>
      </c>
      <c r="Y89" s="150" t="s">
        <v>478</v>
      </c>
      <c r="AG89" s="143" t="s">
        <v>475</v>
      </c>
      <c r="AH89" s="149" t="s">
        <v>477</v>
      </c>
      <c r="AI89" s="141" t="s">
        <v>488</v>
      </c>
      <c r="AJ89" s="142" t="s">
        <v>489</v>
      </c>
    </row>
    <row r="90" spans="13:36" x14ac:dyDescent="0.3">
      <c r="M90" s="144">
        <v>335</v>
      </c>
      <c r="N90" s="151">
        <v>22.2</v>
      </c>
      <c r="O90" s="133">
        <v>9.3000000000000007</v>
      </c>
      <c r="P90" s="135">
        <f>K12</f>
        <v>277.72907435454135</v>
      </c>
      <c r="W90" s="145">
        <v>240</v>
      </c>
      <c r="X90" s="133">
        <v>9.3000000000000007</v>
      </c>
      <c r="Y90" s="130">
        <v>178</v>
      </c>
      <c r="AG90" s="146">
        <v>342</v>
      </c>
      <c r="AH90" s="151">
        <v>9.3000000000000007</v>
      </c>
      <c r="AI90" s="134">
        <f>I12</f>
        <v>338.0242106533276</v>
      </c>
      <c r="AJ90" s="135">
        <f>J12</f>
        <v>217.73794646491592</v>
      </c>
    </row>
    <row r="91" spans="13:36" x14ac:dyDescent="0.3">
      <c r="M91" s="144">
        <v>379</v>
      </c>
      <c r="N91" s="151">
        <v>19.2</v>
      </c>
      <c r="O91" s="133">
        <v>12.1</v>
      </c>
      <c r="P91" s="135">
        <f t="shared" ref="P91:P112" si="3">K13</f>
        <v>310.19798095021372</v>
      </c>
      <c r="W91" s="145">
        <v>226</v>
      </c>
      <c r="X91" s="133">
        <v>12.1</v>
      </c>
      <c r="Y91" s="130">
        <v>202</v>
      </c>
      <c r="AG91" s="146">
        <v>323</v>
      </c>
      <c r="AH91" s="151">
        <v>12.1</v>
      </c>
      <c r="AI91" s="134">
        <f t="shared" ref="AI91:AI112" si="4">I13</f>
        <v>350.14117180557764</v>
      </c>
      <c r="AJ91" s="135">
        <f t="shared" ref="AJ91:AJ112" si="5">J13</f>
        <v>220.21473557604489</v>
      </c>
    </row>
    <row r="92" spans="13:36" x14ac:dyDescent="0.3">
      <c r="M92" s="144">
        <v>343</v>
      </c>
      <c r="N92" s="151">
        <v>29.9</v>
      </c>
      <c r="O92" s="133">
        <v>14.9</v>
      </c>
      <c r="P92" s="135">
        <f t="shared" si="3"/>
        <v>89.482664711532152</v>
      </c>
      <c r="W92" s="145">
        <v>221</v>
      </c>
      <c r="X92" s="133">
        <v>14.9</v>
      </c>
      <c r="Y92" s="130">
        <v>197</v>
      </c>
      <c r="AG92" s="146">
        <v>312</v>
      </c>
      <c r="AH92" s="151">
        <v>14.9</v>
      </c>
      <c r="AI92" s="134">
        <f t="shared" si="4"/>
        <v>291.2778492315461</v>
      </c>
      <c r="AJ92" s="135">
        <f t="shared" si="5"/>
        <v>214.12622285468404</v>
      </c>
    </row>
    <row r="93" spans="13:36" x14ac:dyDescent="0.3">
      <c r="M93" s="144">
        <v>391</v>
      </c>
      <c r="N93" s="151">
        <v>16.5</v>
      </c>
      <c r="O93" s="133">
        <v>8.3000000000000007</v>
      </c>
      <c r="P93" s="135">
        <f t="shared" si="3"/>
        <v>501.49410686585509</v>
      </c>
      <c r="W93" s="145">
        <v>226</v>
      </c>
      <c r="X93" s="133">
        <v>8.3000000000000007</v>
      </c>
      <c r="Y93" s="130">
        <v>201</v>
      </c>
      <c r="AG93" s="146">
        <v>433</v>
      </c>
      <c r="AH93" s="151">
        <v>8.3000000000000007</v>
      </c>
      <c r="AI93" s="134">
        <f t="shared" si="4"/>
        <v>405.66085894360236</v>
      </c>
      <c r="AJ93" s="135">
        <f t="shared" si="5"/>
        <v>224.28814792701749</v>
      </c>
    </row>
    <row r="94" spans="13:36" x14ac:dyDescent="0.3">
      <c r="M94" s="144">
        <v>407</v>
      </c>
      <c r="N94" s="151">
        <v>27.5</v>
      </c>
      <c r="O94" s="133">
        <v>8.8000000000000007</v>
      </c>
      <c r="P94" s="135">
        <f t="shared" si="3"/>
        <v>346.10863435332953</v>
      </c>
      <c r="W94" s="145">
        <v>220</v>
      </c>
      <c r="X94" s="133">
        <v>8.8000000000000007</v>
      </c>
      <c r="Y94" s="130">
        <v>189</v>
      </c>
      <c r="AG94" s="146">
        <v>415</v>
      </c>
      <c r="AH94" s="151">
        <v>8.8000000000000007</v>
      </c>
      <c r="AI94" s="134">
        <f t="shared" si="4"/>
        <v>365.45845436180093</v>
      </c>
      <c r="AJ94" s="135">
        <f t="shared" si="5"/>
        <v>219.02863043909625</v>
      </c>
    </row>
    <row r="95" spans="13:36" x14ac:dyDescent="0.3">
      <c r="M95" s="144">
        <v>727</v>
      </c>
      <c r="N95" s="151">
        <v>13.3</v>
      </c>
      <c r="O95" s="133">
        <v>5.2</v>
      </c>
      <c r="P95" s="135">
        <f t="shared" si="3"/>
        <v>1313.510942966609</v>
      </c>
      <c r="W95" s="145">
        <v>250</v>
      </c>
      <c r="X95" s="133">
        <v>5.2</v>
      </c>
      <c r="Y95" s="130">
        <v>302</v>
      </c>
      <c r="AG95" s="146">
        <v>1708</v>
      </c>
      <c r="AH95" s="151">
        <v>5.2</v>
      </c>
      <c r="AI95" s="134">
        <f t="shared" si="4"/>
        <v>669.44385760908904</v>
      </c>
      <c r="AJ95" s="135">
        <f t="shared" si="5"/>
        <v>246.75100102568848</v>
      </c>
    </row>
    <row r="96" spans="13:36" x14ac:dyDescent="0.3">
      <c r="M96" s="144">
        <v>482</v>
      </c>
      <c r="N96" s="151">
        <v>18.2</v>
      </c>
      <c r="O96" s="133">
        <v>9.5</v>
      </c>
      <c r="P96" s="135">
        <f t="shared" si="3"/>
        <v>524.39324121528193</v>
      </c>
      <c r="W96" s="145">
        <v>237</v>
      </c>
      <c r="X96" s="133">
        <v>9.5</v>
      </c>
      <c r="Y96" s="130">
        <v>215</v>
      </c>
      <c r="AG96" s="146">
        <v>369</v>
      </c>
      <c r="AH96" s="151">
        <v>9.5</v>
      </c>
      <c r="AI96" s="134">
        <f t="shared" si="4"/>
        <v>416.85388305543626</v>
      </c>
      <c r="AJ96" s="135">
        <f t="shared" si="5"/>
        <v>225.34644853101997</v>
      </c>
    </row>
    <row r="97" spans="13:36" x14ac:dyDescent="0.3">
      <c r="M97" s="144">
        <v>346</v>
      </c>
      <c r="N97" s="151">
        <v>18.100000000000001</v>
      </c>
      <c r="O97" s="133">
        <v>7.3</v>
      </c>
      <c r="P97" s="135">
        <f t="shared" si="3"/>
        <v>318.29536369819346</v>
      </c>
      <c r="W97" s="145">
        <v>232</v>
      </c>
      <c r="X97" s="133">
        <v>7.3</v>
      </c>
      <c r="Y97" s="130">
        <v>166</v>
      </c>
      <c r="AG97" s="146">
        <v>404</v>
      </c>
      <c r="AH97" s="151">
        <v>7.3</v>
      </c>
      <c r="AI97" s="134">
        <f t="shared" si="4"/>
        <v>344.44338263570319</v>
      </c>
      <c r="AJ97" s="135">
        <f t="shared" si="5"/>
        <v>218.37282304075498</v>
      </c>
    </row>
    <row r="98" spans="13:36" x14ac:dyDescent="0.3">
      <c r="M98" s="144">
        <v>394</v>
      </c>
      <c r="N98" s="151">
        <v>16.5</v>
      </c>
      <c r="O98" s="133">
        <v>6.4</v>
      </c>
      <c r="P98" s="135">
        <f t="shared" si="3"/>
        <v>580.87448895171701</v>
      </c>
      <c r="W98" s="145">
        <v>215</v>
      </c>
      <c r="X98" s="133">
        <v>6.4</v>
      </c>
      <c r="Y98" s="130">
        <v>199</v>
      </c>
      <c r="AG98" s="146">
        <v>327</v>
      </c>
      <c r="AH98" s="151">
        <v>6.4</v>
      </c>
      <c r="AI98" s="134">
        <f t="shared" si="4"/>
        <v>429.33108955766699</v>
      </c>
      <c r="AJ98" s="135">
        <f t="shared" si="5"/>
        <v>225.73296134501777</v>
      </c>
    </row>
    <row r="99" spans="13:36" x14ac:dyDescent="0.3">
      <c r="M99" s="144">
        <v>339</v>
      </c>
      <c r="N99" s="151">
        <v>21.5</v>
      </c>
      <c r="O99" s="133">
        <v>9.6</v>
      </c>
      <c r="P99" s="135">
        <f t="shared" si="3"/>
        <v>279.42630434479452</v>
      </c>
      <c r="W99" s="145">
        <v>220</v>
      </c>
      <c r="X99" s="133">
        <v>9.6</v>
      </c>
      <c r="Y99" s="130">
        <v>180</v>
      </c>
      <c r="AG99" s="146">
        <v>379</v>
      </c>
      <c r="AH99" s="151">
        <v>9.6</v>
      </c>
      <c r="AI99" s="134">
        <f t="shared" si="4"/>
        <v>338.34670676437884</v>
      </c>
      <c r="AJ99" s="135">
        <f t="shared" si="5"/>
        <v>217.98506002055106</v>
      </c>
    </row>
    <row r="100" spans="13:36" x14ac:dyDescent="0.3">
      <c r="M100" s="144">
        <v>417</v>
      </c>
      <c r="N100" s="151">
        <v>20.9</v>
      </c>
      <c r="O100" s="133">
        <v>8</v>
      </c>
      <c r="P100" s="135">
        <f t="shared" si="3"/>
        <v>366.40353103257667</v>
      </c>
      <c r="W100" s="145">
        <v>222</v>
      </c>
      <c r="X100" s="133">
        <v>8</v>
      </c>
      <c r="Y100" s="130">
        <v>181</v>
      </c>
      <c r="AG100" s="146">
        <v>339</v>
      </c>
      <c r="AH100" s="151">
        <v>8</v>
      </c>
      <c r="AI100" s="134">
        <f t="shared" si="4"/>
        <v>364.41378029257476</v>
      </c>
      <c r="AJ100" s="135">
        <f t="shared" si="5"/>
        <v>219.8394887670072</v>
      </c>
    </row>
    <row r="101" spans="13:36" x14ac:dyDescent="0.3">
      <c r="M101" s="144">
        <v>423</v>
      </c>
      <c r="N101" s="151">
        <v>18</v>
      </c>
      <c r="O101" s="133">
        <v>5.9</v>
      </c>
      <c r="P101" s="135">
        <f t="shared" si="3"/>
        <v>514.58700662797992</v>
      </c>
      <c r="W101" s="145">
        <v>231</v>
      </c>
      <c r="X101" s="133">
        <v>5.9</v>
      </c>
      <c r="Y101" s="130">
        <v>186</v>
      </c>
      <c r="AG101" s="146">
        <v>432</v>
      </c>
      <c r="AH101" s="151">
        <v>5.9</v>
      </c>
      <c r="AI101" s="134">
        <f t="shared" si="4"/>
        <v>407.89389655919001</v>
      </c>
      <c r="AJ101" s="135">
        <f t="shared" si="5"/>
        <v>223.44853352987082</v>
      </c>
    </row>
    <row r="102" spans="13:36" x14ac:dyDescent="0.3">
      <c r="M102" s="144">
        <v>450</v>
      </c>
      <c r="N102" s="151">
        <v>26.6</v>
      </c>
      <c r="O102" s="133">
        <v>11.5</v>
      </c>
      <c r="P102" s="135">
        <f t="shared" si="3"/>
        <v>609.62707600070439</v>
      </c>
      <c r="W102" s="145">
        <v>229</v>
      </c>
      <c r="X102" s="133">
        <v>11.5</v>
      </c>
      <c r="Y102" s="130">
        <v>250</v>
      </c>
      <c r="AG102" s="146">
        <v>460</v>
      </c>
      <c r="AH102" s="151">
        <v>11.5</v>
      </c>
      <c r="AI102" s="134">
        <f t="shared" si="4"/>
        <v>456.84056387679988</v>
      </c>
      <c r="AJ102" s="135">
        <f t="shared" si="5"/>
        <v>227.98492593238544</v>
      </c>
    </row>
    <row r="103" spans="13:36" x14ac:dyDescent="0.3">
      <c r="M103" s="144">
        <v>286</v>
      </c>
      <c r="N103" s="151">
        <v>15.7</v>
      </c>
      <c r="O103" s="133">
        <v>11.2</v>
      </c>
      <c r="P103" s="135">
        <f t="shared" si="3"/>
        <v>364.77195045258645</v>
      </c>
      <c r="W103" s="145">
        <v>203</v>
      </c>
      <c r="X103" s="133">
        <v>11.2</v>
      </c>
      <c r="Y103" s="130">
        <v>201</v>
      </c>
      <c r="AG103" s="146">
        <v>264</v>
      </c>
      <c r="AH103" s="151">
        <v>11.2</v>
      </c>
      <c r="AI103" s="134">
        <f t="shared" si="4"/>
        <v>363.52299467249003</v>
      </c>
      <c r="AJ103" s="135">
        <f t="shared" si="5"/>
        <v>221.70167350614656</v>
      </c>
    </row>
    <row r="104" spans="13:36" x14ac:dyDescent="0.3">
      <c r="M104" s="144">
        <v>303</v>
      </c>
      <c r="N104" s="151">
        <v>23.1</v>
      </c>
      <c r="O104" s="133">
        <v>10.199999999999999</v>
      </c>
      <c r="P104" s="135">
        <f t="shared" si="3"/>
        <v>504.56835913574309</v>
      </c>
      <c r="W104" s="145">
        <v>207</v>
      </c>
      <c r="X104" s="133">
        <v>10.199999999999999</v>
      </c>
      <c r="Y104" s="130">
        <v>221</v>
      </c>
      <c r="AG104" s="146">
        <v>296</v>
      </c>
      <c r="AH104" s="151">
        <v>10.199999999999999</v>
      </c>
      <c r="AI104" s="134">
        <f t="shared" si="4"/>
        <v>416.19897398393164</v>
      </c>
      <c r="AJ104" s="135">
        <f t="shared" si="5"/>
        <v>224.65431810537547</v>
      </c>
    </row>
    <row r="105" spans="13:36" x14ac:dyDescent="0.3">
      <c r="M105" s="144">
        <v>286</v>
      </c>
      <c r="N105" s="151">
        <v>24</v>
      </c>
      <c r="O105" s="133">
        <v>9.6</v>
      </c>
      <c r="P105" s="135">
        <f t="shared" si="3"/>
        <v>254.27420900343577</v>
      </c>
      <c r="W105" s="145">
        <v>198</v>
      </c>
      <c r="X105" s="133">
        <v>9.6</v>
      </c>
      <c r="Y105" s="130">
        <v>178</v>
      </c>
      <c r="AG105" s="146">
        <v>285</v>
      </c>
      <c r="AH105" s="151">
        <v>9.6</v>
      </c>
      <c r="AI105" s="134">
        <f t="shared" si="4"/>
        <v>332.43744620762897</v>
      </c>
      <c r="AJ105" s="135">
        <f t="shared" si="5"/>
        <v>217.0334042980507</v>
      </c>
    </row>
    <row r="106" spans="13:36" x14ac:dyDescent="0.3">
      <c r="M106" s="144">
        <v>369</v>
      </c>
      <c r="N106" s="151">
        <v>17.7</v>
      </c>
      <c r="O106" s="133">
        <v>9.3000000000000007</v>
      </c>
      <c r="P106" s="135">
        <f t="shared" si="3"/>
        <v>594.11545081495376</v>
      </c>
      <c r="W106" s="145">
        <v>226</v>
      </c>
      <c r="X106" s="133">
        <v>9.3000000000000007</v>
      </c>
      <c r="Y106" s="130">
        <v>224</v>
      </c>
      <c r="AG106" s="146">
        <v>383</v>
      </c>
      <c r="AH106" s="151">
        <v>9.3000000000000007</v>
      </c>
      <c r="AI106" s="134">
        <f t="shared" si="4"/>
        <v>439.37792628033333</v>
      </c>
      <c r="AJ106" s="135">
        <f t="shared" si="5"/>
        <v>227.32507794408437</v>
      </c>
    </row>
    <row r="107" spans="13:36" x14ac:dyDescent="0.3">
      <c r="M107" s="144">
        <v>443</v>
      </c>
      <c r="N107" s="151">
        <v>20.6</v>
      </c>
      <c r="O107" s="133">
        <v>7.8</v>
      </c>
      <c r="P107" s="135">
        <f t="shared" si="3"/>
        <v>371.19498735200796</v>
      </c>
      <c r="W107" s="145">
        <v>227</v>
      </c>
      <c r="X107" s="133">
        <v>7.8</v>
      </c>
      <c r="Y107" s="130">
        <v>180</v>
      </c>
      <c r="AG107" s="146">
        <v>392</v>
      </c>
      <c r="AH107" s="151">
        <v>7.8</v>
      </c>
      <c r="AI107" s="134">
        <f t="shared" si="4"/>
        <v>365.41188128640869</v>
      </c>
      <c r="AJ107" s="135">
        <f t="shared" si="5"/>
        <v>219.91458837325999</v>
      </c>
    </row>
    <row r="108" spans="13:36" x14ac:dyDescent="0.3">
      <c r="M108" s="144">
        <v>420</v>
      </c>
      <c r="N108" s="151">
        <v>20.6</v>
      </c>
      <c r="O108" s="133">
        <v>5.5</v>
      </c>
      <c r="P108" s="135">
        <f t="shared" si="3"/>
        <v>361.27850036547966</v>
      </c>
      <c r="W108" s="145">
        <v>217</v>
      </c>
      <c r="X108" s="133">
        <v>5.5</v>
      </c>
      <c r="Y108" s="130">
        <v>161</v>
      </c>
      <c r="AG108" s="146">
        <v>375</v>
      </c>
      <c r="AH108" s="151">
        <v>5.5</v>
      </c>
      <c r="AI108" s="134">
        <f t="shared" si="4"/>
        <v>358.59378199148085</v>
      </c>
      <c r="AJ108" s="135">
        <f t="shared" si="5"/>
        <v>218.58467827389737</v>
      </c>
    </row>
    <row r="109" spans="13:36" x14ac:dyDescent="0.3">
      <c r="M109" s="144">
        <v>322</v>
      </c>
      <c r="N109" s="151">
        <v>15.2</v>
      </c>
      <c r="O109" s="133">
        <v>7.4</v>
      </c>
      <c r="P109" s="135">
        <f t="shared" si="3"/>
        <v>321.392180932928</v>
      </c>
      <c r="W109" s="145">
        <v>218</v>
      </c>
      <c r="X109" s="133">
        <v>7.4</v>
      </c>
      <c r="Y109" s="130">
        <v>165</v>
      </c>
      <c r="AG109" s="146">
        <v>329</v>
      </c>
      <c r="AH109" s="151">
        <v>7.4</v>
      </c>
      <c r="AI109" s="134">
        <f t="shared" si="4"/>
        <v>342.72379125146603</v>
      </c>
      <c r="AJ109" s="135">
        <f t="shared" si="5"/>
        <v>218.76459143502362</v>
      </c>
    </row>
    <row r="110" spans="13:36" x14ac:dyDescent="0.3">
      <c r="M110" s="144">
        <v>167</v>
      </c>
      <c r="N110" s="151">
        <v>26.3</v>
      </c>
      <c r="O110" s="133">
        <v>6</v>
      </c>
      <c r="P110" s="135">
        <f t="shared" si="3"/>
        <v>347.19918324740115</v>
      </c>
      <c r="W110" s="145">
        <v>201</v>
      </c>
      <c r="X110" s="133">
        <v>6</v>
      </c>
      <c r="Y110" s="130">
        <v>167</v>
      </c>
      <c r="AG110" s="146">
        <v>336</v>
      </c>
      <c r="AH110" s="151">
        <v>6</v>
      </c>
      <c r="AI110" s="134">
        <f t="shared" si="4"/>
        <v>360.35925888333861</v>
      </c>
      <c r="AJ110" s="135">
        <f t="shared" si="5"/>
        <v>217.89805582848979</v>
      </c>
    </row>
    <row r="111" spans="13:36" x14ac:dyDescent="0.3">
      <c r="M111" s="144">
        <v>443</v>
      </c>
      <c r="N111" s="151">
        <v>32.5</v>
      </c>
      <c r="O111" s="133">
        <v>6.3</v>
      </c>
      <c r="P111" s="135">
        <f t="shared" si="3"/>
        <v>359.53157850756793</v>
      </c>
      <c r="W111" s="145">
        <v>222</v>
      </c>
      <c r="X111" s="133">
        <v>6.3</v>
      </c>
      <c r="Y111" s="130">
        <v>176</v>
      </c>
      <c r="AG111" s="146">
        <v>364</v>
      </c>
      <c r="AH111" s="151">
        <v>6.3</v>
      </c>
      <c r="AI111" s="134">
        <f t="shared" si="4"/>
        <v>371.15939924793003</v>
      </c>
      <c r="AJ111" s="135">
        <f t="shared" si="5"/>
        <v>217.84370272108345</v>
      </c>
    </row>
    <row r="112" spans="13:36" x14ac:dyDescent="0.3">
      <c r="M112" s="147">
        <v>316</v>
      </c>
      <c r="N112" s="152">
        <v>15.4</v>
      </c>
      <c r="O112" s="131">
        <v>10.1</v>
      </c>
      <c r="P112" s="135">
        <f t="shared" si="3"/>
        <v>61.543184114566088</v>
      </c>
      <c r="W112" s="129">
        <v>209</v>
      </c>
      <c r="X112" s="131">
        <v>10.1</v>
      </c>
      <c r="Y112" s="132">
        <v>145</v>
      </c>
      <c r="AG112" s="148">
        <v>305</v>
      </c>
      <c r="AH112" s="152">
        <v>10.1</v>
      </c>
      <c r="AI112" s="136">
        <f t="shared" si="4"/>
        <v>260.08484084829996</v>
      </c>
      <c r="AJ112" s="137">
        <f t="shared" si="5"/>
        <v>212.42298406053365</v>
      </c>
    </row>
    <row r="115" spans="13:38" x14ac:dyDescent="0.3">
      <c r="M115" t="s">
        <v>23</v>
      </c>
      <c r="W115" t="s">
        <v>23</v>
      </c>
      <c r="AG115" t="s">
        <v>23</v>
      </c>
    </row>
    <row r="116" spans="13:38" ht="15" thickBot="1" x14ac:dyDescent="0.35"/>
    <row r="117" spans="13:38" x14ac:dyDescent="0.3">
      <c r="M117" s="12" t="s">
        <v>24</v>
      </c>
      <c r="N117" s="12"/>
      <c r="W117" s="12" t="s">
        <v>24</v>
      </c>
      <c r="X117" s="12"/>
      <c r="AG117" s="12" t="s">
        <v>24</v>
      </c>
      <c r="AH117" s="12"/>
    </row>
    <row r="118" spans="13:38" x14ac:dyDescent="0.3">
      <c r="M118" s="9" t="s">
        <v>25</v>
      </c>
      <c r="N118" s="9">
        <v>0.75700662208553426</v>
      </c>
      <c r="W118" s="9" t="s">
        <v>25</v>
      </c>
      <c r="X118" s="9">
        <v>0.53120887707886466</v>
      </c>
      <c r="AG118" s="9" t="s">
        <v>25</v>
      </c>
      <c r="AH118" s="9">
        <v>0.84538230957444904</v>
      </c>
    </row>
    <row r="119" spans="13:38" x14ac:dyDescent="0.3">
      <c r="M119" s="9" t="s">
        <v>26</v>
      </c>
      <c r="N119" s="9">
        <v>0.57305902588135083</v>
      </c>
      <c r="W119" s="9" t="s">
        <v>26</v>
      </c>
      <c r="X119" s="9">
        <v>0.28218287108738832</v>
      </c>
      <c r="AG119" s="9" t="s">
        <v>26</v>
      </c>
      <c r="AH119" s="9">
        <v>0.71467124934142967</v>
      </c>
    </row>
    <row r="120" spans="13:38" x14ac:dyDescent="0.3">
      <c r="M120" s="9" t="s">
        <v>27</v>
      </c>
      <c r="N120" s="9">
        <v>0.50564729312577461</v>
      </c>
      <c r="W120" s="9" t="s">
        <v>27</v>
      </c>
      <c r="X120" s="9">
        <v>0.21040115819612715</v>
      </c>
      <c r="AG120" s="9" t="s">
        <v>27</v>
      </c>
      <c r="AH120" s="9">
        <v>0.66961934134270806</v>
      </c>
    </row>
    <row r="121" spans="13:38" x14ac:dyDescent="0.3">
      <c r="M121" s="9" t="s">
        <v>28</v>
      </c>
      <c r="N121" s="9">
        <v>72.233089828692016</v>
      </c>
      <c r="W121" s="9" t="s">
        <v>28</v>
      </c>
      <c r="X121" s="9">
        <v>11.21351128421678</v>
      </c>
      <c r="AG121" s="9" t="s">
        <v>28</v>
      </c>
      <c r="AH121" s="9">
        <v>164.46919536187883</v>
      </c>
    </row>
    <row r="122" spans="13:38" ht="15" thickBot="1" x14ac:dyDescent="0.35">
      <c r="M122" s="10" t="s">
        <v>29</v>
      </c>
      <c r="N122" s="10">
        <v>23</v>
      </c>
      <c r="W122" s="10" t="s">
        <v>29</v>
      </c>
      <c r="X122" s="10">
        <v>23</v>
      </c>
      <c r="AG122" s="10" t="s">
        <v>29</v>
      </c>
      <c r="AH122" s="10">
        <v>23</v>
      </c>
    </row>
    <row r="124" spans="13:38" ht="15" thickBot="1" x14ac:dyDescent="0.35">
      <c r="M124" t="s">
        <v>30</v>
      </c>
      <c r="W124" t="s">
        <v>30</v>
      </c>
      <c r="AG124" t="s">
        <v>30</v>
      </c>
    </row>
    <row r="125" spans="13:38" x14ac:dyDescent="0.3">
      <c r="M125" s="11"/>
      <c r="N125" s="11" t="s">
        <v>35</v>
      </c>
      <c r="O125" s="11" t="s">
        <v>36</v>
      </c>
      <c r="P125" s="11" t="s">
        <v>37</v>
      </c>
      <c r="Q125" s="11" t="s">
        <v>38</v>
      </c>
      <c r="R125" s="11" t="s">
        <v>39</v>
      </c>
      <c r="W125" s="11"/>
      <c r="X125" s="11" t="s">
        <v>35</v>
      </c>
      <c r="Y125" s="11" t="s">
        <v>36</v>
      </c>
      <c r="Z125" s="11" t="s">
        <v>37</v>
      </c>
      <c r="AA125" s="11" t="s">
        <v>38</v>
      </c>
      <c r="AB125" s="11" t="s">
        <v>39</v>
      </c>
      <c r="AG125" s="11"/>
      <c r="AH125" s="11" t="s">
        <v>35</v>
      </c>
      <c r="AI125" s="11" t="s">
        <v>36</v>
      </c>
      <c r="AJ125" s="11" t="s">
        <v>37</v>
      </c>
      <c r="AK125" s="11" t="s">
        <v>38</v>
      </c>
      <c r="AL125" s="11" t="s">
        <v>39</v>
      </c>
    </row>
    <row r="126" spans="13:38" x14ac:dyDescent="0.3">
      <c r="M126" s="9" t="s">
        <v>31</v>
      </c>
      <c r="N126" s="9">
        <v>3</v>
      </c>
      <c r="O126" s="9">
        <v>133063.0600291586</v>
      </c>
      <c r="P126" s="9">
        <v>44354.35334305287</v>
      </c>
      <c r="Q126" s="9">
        <v>8.5008796311343637</v>
      </c>
      <c r="R126" s="9">
        <v>8.7130852622115823E-4</v>
      </c>
      <c r="W126" s="9" t="s">
        <v>31</v>
      </c>
      <c r="X126" s="9">
        <v>2</v>
      </c>
      <c r="Y126" s="9">
        <v>988.62155444442396</v>
      </c>
      <c r="Z126" s="9">
        <v>494.31077722221198</v>
      </c>
      <c r="AA126" s="9">
        <v>3.9311247910014937</v>
      </c>
      <c r="AB126" s="9">
        <v>3.6319358973238583E-2</v>
      </c>
      <c r="AG126" s="9" t="s">
        <v>31</v>
      </c>
      <c r="AH126" s="9">
        <v>3</v>
      </c>
      <c r="AI126" s="9">
        <v>1287311.0961111325</v>
      </c>
      <c r="AJ126" s="9">
        <v>429103.69870371086</v>
      </c>
      <c r="AK126" s="9">
        <v>15.863284843823012</v>
      </c>
      <c r="AL126" s="9">
        <v>2.0833487969841924E-5</v>
      </c>
    </row>
    <row r="127" spans="13:38" x14ac:dyDescent="0.3">
      <c r="M127" s="9" t="s">
        <v>32</v>
      </c>
      <c r="N127" s="9">
        <v>19</v>
      </c>
      <c r="O127" s="9">
        <v>99134.766057797897</v>
      </c>
      <c r="P127" s="9">
        <v>5217.6192661998894</v>
      </c>
      <c r="Q127" s="9"/>
      <c r="R127" s="9"/>
      <c r="W127" s="9" t="s">
        <v>32</v>
      </c>
      <c r="X127" s="9">
        <v>20</v>
      </c>
      <c r="Y127" s="9">
        <v>2514.8567064251415</v>
      </c>
      <c r="Z127" s="9">
        <v>125.74283532125708</v>
      </c>
      <c r="AA127" s="9"/>
      <c r="AB127" s="9"/>
      <c r="AG127" s="9" t="s">
        <v>32</v>
      </c>
      <c r="AH127" s="9">
        <v>19</v>
      </c>
      <c r="AI127" s="9">
        <v>513952.2082366934</v>
      </c>
      <c r="AJ127" s="9">
        <v>27050.116222983863</v>
      </c>
      <c r="AK127" s="9"/>
      <c r="AL127" s="9"/>
    </row>
    <row r="128" spans="13:38" ht="15" thickBot="1" x14ac:dyDescent="0.35">
      <c r="M128" s="10" t="s">
        <v>33</v>
      </c>
      <c r="N128" s="10">
        <v>22</v>
      </c>
      <c r="O128" s="10">
        <v>232197.82608695648</v>
      </c>
      <c r="P128" s="10"/>
      <c r="Q128" s="10"/>
      <c r="R128" s="10"/>
      <c r="W128" s="10" t="s">
        <v>33</v>
      </c>
      <c r="X128" s="10">
        <v>22</v>
      </c>
      <c r="Y128" s="10">
        <v>3503.4782608695655</v>
      </c>
      <c r="Z128" s="10"/>
      <c r="AA128" s="10"/>
      <c r="AB128" s="10"/>
      <c r="AG128" s="10" t="s">
        <v>33</v>
      </c>
      <c r="AH128" s="10">
        <v>22</v>
      </c>
      <c r="AI128" s="10">
        <v>1801263.3043478259</v>
      </c>
      <c r="AJ128" s="10"/>
      <c r="AK128" s="10"/>
      <c r="AL128" s="10"/>
    </row>
    <row r="129" spans="13:41" ht="15" thickBot="1" x14ac:dyDescent="0.35"/>
    <row r="130" spans="13:41" x14ac:dyDescent="0.3">
      <c r="M130" s="11"/>
      <c r="N130" s="11" t="s">
        <v>40</v>
      </c>
      <c r="O130" s="11" t="s">
        <v>28</v>
      </c>
      <c r="P130" s="11" t="s">
        <v>41</v>
      </c>
      <c r="Q130" s="11" t="s">
        <v>42</v>
      </c>
      <c r="R130" s="11" t="s">
        <v>43</v>
      </c>
      <c r="S130" s="11" t="s">
        <v>44</v>
      </c>
      <c r="T130" s="11" t="s">
        <v>45</v>
      </c>
      <c r="U130" s="11" t="s">
        <v>46</v>
      </c>
      <c r="W130" s="11"/>
      <c r="X130" s="11" t="s">
        <v>40</v>
      </c>
      <c r="Y130" s="11" t="s">
        <v>28</v>
      </c>
      <c r="Z130" s="11" t="s">
        <v>41</v>
      </c>
      <c r="AA130" s="11" t="s">
        <v>42</v>
      </c>
      <c r="AB130" s="11" t="s">
        <v>43</v>
      </c>
      <c r="AC130" s="11" t="s">
        <v>44</v>
      </c>
      <c r="AD130" s="11" t="s">
        <v>45</v>
      </c>
      <c r="AE130" s="11" t="s">
        <v>46</v>
      </c>
      <c r="AG130" s="11"/>
      <c r="AH130" s="11" t="s">
        <v>40</v>
      </c>
      <c r="AI130" s="11" t="s">
        <v>28</v>
      </c>
      <c r="AJ130" s="11" t="s">
        <v>41</v>
      </c>
      <c r="AK130" s="11" t="s">
        <v>42</v>
      </c>
      <c r="AL130" s="11" t="s">
        <v>43</v>
      </c>
      <c r="AM130" s="11" t="s">
        <v>44</v>
      </c>
      <c r="AN130" s="11" t="s">
        <v>45</v>
      </c>
      <c r="AO130" s="11" t="s">
        <v>46</v>
      </c>
    </row>
    <row r="131" spans="13:41" x14ac:dyDescent="0.3">
      <c r="M131" s="112" t="s">
        <v>34</v>
      </c>
      <c r="N131" s="112">
        <v>208.68012806599012</v>
      </c>
      <c r="O131" s="9">
        <v>107.56263913256139</v>
      </c>
      <c r="P131" s="9">
        <v>1.9400800291708205</v>
      </c>
      <c r="Q131" s="9">
        <v>6.7359532292953675E-2</v>
      </c>
      <c r="R131" s="9">
        <v>-16.45106299410142</v>
      </c>
      <c r="S131" s="9">
        <v>433.81131912608168</v>
      </c>
      <c r="T131" s="9">
        <v>-16.45106299410142</v>
      </c>
      <c r="U131" s="9">
        <v>433.81131912608168</v>
      </c>
      <c r="W131" s="112" t="s">
        <v>34</v>
      </c>
      <c r="X131" s="112">
        <v>193.7857998943982</v>
      </c>
      <c r="Y131" s="9">
        <v>16.059817221884117</v>
      </c>
      <c r="Z131" s="9">
        <v>12.066500958076501</v>
      </c>
      <c r="AA131" s="9">
        <v>1.2329870627300271E-10</v>
      </c>
      <c r="AB131" s="9">
        <v>160.2856081997771</v>
      </c>
      <c r="AC131" s="9">
        <v>227.28599158901929</v>
      </c>
      <c r="AD131" s="9">
        <v>160.2856081997771</v>
      </c>
      <c r="AE131" s="9">
        <v>227.28599158901929</v>
      </c>
      <c r="AG131" s="112" t="s">
        <v>34</v>
      </c>
      <c r="AH131" s="112">
        <v>-3856.3301907480668</v>
      </c>
      <c r="AI131" s="9">
        <v>7777.3278867916242</v>
      </c>
      <c r="AJ131" s="9">
        <v>-0.4958425627518343</v>
      </c>
      <c r="AK131" s="9">
        <v>0.62569223683223663</v>
      </c>
      <c r="AL131" s="9">
        <v>-20134.464536823481</v>
      </c>
      <c r="AM131" s="9">
        <v>12421.804155327349</v>
      </c>
      <c r="AN131" s="9">
        <v>-20134.464536823481</v>
      </c>
      <c r="AO131" s="9">
        <v>12421.804155327349</v>
      </c>
    </row>
    <row r="132" spans="13:41" x14ac:dyDescent="0.3">
      <c r="M132" s="112" t="s">
        <v>476</v>
      </c>
      <c r="N132" s="112">
        <v>1.002754975449446</v>
      </c>
      <c r="O132" s="9">
        <v>3.2936538001739835</v>
      </c>
      <c r="P132" s="9">
        <v>0.30445063029893327</v>
      </c>
      <c r="Q132" s="9">
        <v>0.76409408454073624</v>
      </c>
      <c r="R132" s="9">
        <v>-5.8909416552080414</v>
      </c>
      <c r="S132" s="9">
        <v>7.8964516061069334</v>
      </c>
      <c r="T132" s="9">
        <v>-5.8909416552080414</v>
      </c>
      <c r="U132" s="9">
        <v>7.8964516061069334</v>
      </c>
      <c r="W132" s="112" t="s">
        <v>477</v>
      </c>
      <c r="X132" s="112">
        <v>-1.0855023006081144</v>
      </c>
      <c r="Y132" s="9">
        <v>1.0059283225717413</v>
      </c>
      <c r="Z132" s="9">
        <v>-1.079105017972787</v>
      </c>
      <c r="AA132" s="9">
        <v>0.29338366647471292</v>
      </c>
      <c r="AB132" s="9">
        <v>-3.1838320120622328</v>
      </c>
      <c r="AC132" s="9">
        <v>1.012827410846004</v>
      </c>
      <c r="AD132" s="9">
        <v>-3.1838320120622328</v>
      </c>
      <c r="AE132" s="9">
        <v>1.012827410846004</v>
      </c>
      <c r="AG132" s="112" t="s">
        <v>477</v>
      </c>
      <c r="AH132" s="112">
        <v>-10.027731710553757</v>
      </c>
      <c r="AI132" s="9">
        <v>19.400316117102509</v>
      </c>
      <c r="AJ132" s="9">
        <v>-0.51688496465857725</v>
      </c>
      <c r="AK132" s="9">
        <v>0.61120112263005288</v>
      </c>
      <c r="AL132" s="9">
        <v>-50.633060006774528</v>
      </c>
      <c r="AM132" s="9">
        <v>30.57759658566701</v>
      </c>
      <c r="AN132" s="9">
        <v>-50.633060006774528</v>
      </c>
      <c r="AO132" s="9">
        <v>30.57759658566701</v>
      </c>
    </row>
    <row r="133" spans="13:41" ht="15" thickBot="1" x14ac:dyDescent="0.35">
      <c r="M133" s="112" t="s">
        <v>477</v>
      </c>
      <c r="N133" s="112">
        <v>1.5217136808358933</v>
      </c>
      <c r="O133" s="9">
        <v>7.2104153214221451</v>
      </c>
      <c r="P133" s="9">
        <v>0.2110438321513716</v>
      </c>
      <c r="Q133" s="9">
        <v>0.83510011465564504</v>
      </c>
      <c r="R133" s="9">
        <v>-13.56985902917488</v>
      </c>
      <c r="S133" s="9">
        <v>16.613286390846667</v>
      </c>
      <c r="T133" s="9">
        <v>-13.56985902917488</v>
      </c>
      <c r="U133" s="9">
        <v>16.613286390846667</v>
      </c>
      <c r="W133" s="115" t="s">
        <v>478</v>
      </c>
      <c r="X133" s="115">
        <v>0.19203498275326747</v>
      </c>
      <c r="Y133" s="10">
        <v>7.2025302651346684E-2</v>
      </c>
      <c r="Z133" s="10">
        <v>2.6662155615347061</v>
      </c>
      <c r="AA133" s="10">
        <v>1.4833125572628652E-2</v>
      </c>
      <c r="AB133" s="10">
        <v>4.1792834144297103E-2</v>
      </c>
      <c r="AC133" s="10">
        <v>0.34227713136223781</v>
      </c>
      <c r="AD133" s="10">
        <v>4.1792834144297103E-2</v>
      </c>
      <c r="AE133" s="10">
        <v>0.34227713136223781</v>
      </c>
      <c r="AG133" s="112" t="s">
        <v>498</v>
      </c>
      <c r="AH133" s="112">
        <v>1.506356182028139</v>
      </c>
      <c r="AI133" s="9">
        <v>3.7906162173259443</v>
      </c>
      <c r="AJ133" s="9">
        <v>0.39739084509346195</v>
      </c>
      <c r="AK133" s="9">
        <v>0.6955082523147309</v>
      </c>
      <c r="AL133" s="9">
        <v>-6.4274947418652992</v>
      </c>
      <c r="AM133" s="9">
        <v>9.4402071059215764</v>
      </c>
      <c r="AN133" s="9">
        <v>-6.4274947418652992</v>
      </c>
      <c r="AO133" s="9">
        <v>9.4402071059215764</v>
      </c>
    </row>
    <row r="134" spans="13:41" ht="15" thickBot="1" x14ac:dyDescent="0.35">
      <c r="M134" s="115" t="s">
        <v>496</v>
      </c>
      <c r="N134" s="115">
        <v>0.33461021362838206</v>
      </c>
      <c r="O134" s="10">
        <v>7.3835025810104427E-2</v>
      </c>
      <c r="P134" s="10">
        <v>4.5318628924023505</v>
      </c>
      <c r="Q134" s="10">
        <v>2.2808886131231649E-4</v>
      </c>
      <c r="R134" s="10">
        <v>0.18007172854997511</v>
      </c>
      <c r="S134" s="10">
        <v>0.48914869870678901</v>
      </c>
      <c r="T134" s="10">
        <v>0.18007172854997511</v>
      </c>
      <c r="U134" s="10">
        <v>0.48914869870678901</v>
      </c>
      <c r="AG134" s="115" t="s">
        <v>499</v>
      </c>
      <c r="AH134" s="115">
        <v>17.076179742592721</v>
      </c>
      <c r="AI134" s="10">
        <v>41.987268020968742</v>
      </c>
      <c r="AJ134" s="10">
        <v>0.40669899584952168</v>
      </c>
      <c r="AK134" s="10">
        <v>0.68877384185871715</v>
      </c>
      <c r="AL134" s="10">
        <v>-70.804182204183633</v>
      </c>
      <c r="AM134" s="10">
        <v>104.95654168936909</v>
      </c>
      <c r="AN134" s="10">
        <v>-70.804182204183633</v>
      </c>
      <c r="AO134" s="10">
        <v>104.95654168936909</v>
      </c>
    </row>
    <row r="137" spans="13:41" x14ac:dyDescent="0.3">
      <c r="W137" t="s">
        <v>47</v>
      </c>
    </row>
    <row r="138" spans="13:41" ht="15" thickBot="1" x14ac:dyDescent="0.35">
      <c r="M138" t="s">
        <v>47</v>
      </c>
      <c r="AG138" t="s">
        <v>47</v>
      </c>
    </row>
    <row r="139" spans="13:41" ht="15" thickBot="1" x14ac:dyDescent="0.35">
      <c r="W139" s="11" t="s">
        <v>48</v>
      </c>
      <c r="X139" s="11" t="s">
        <v>485</v>
      </c>
      <c r="Y139" s="11" t="s">
        <v>49</v>
      </c>
    </row>
    <row r="140" spans="13:41" x14ac:dyDescent="0.3">
      <c r="M140" s="11" t="s">
        <v>48</v>
      </c>
      <c r="N140" s="11" t="s">
        <v>482</v>
      </c>
      <c r="O140" s="11" t="s">
        <v>49</v>
      </c>
      <c r="W140" s="9">
        <v>1</v>
      </c>
      <c r="X140" s="9">
        <v>217.87285542882435</v>
      </c>
      <c r="Y140" s="9">
        <v>22.127144571175648</v>
      </c>
      <c r="AG140" s="11" t="s">
        <v>48</v>
      </c>
      <c r="AH140" s="11" t="s">
        <v>487</v>
      </c>
      <c r="AI140" s="11" t="s">
        <v>49</v>
      </c>
    </row>
    <row r="141" spans="13:41" x14ac:dyDescent="0.3">
      <c r="M141" s="9">
        <v>1</v>
      </c>
      <c r="N141" s="9">
        <v>338.02421065332749</v>
      </c>
      <c r="O141" s="9">
        <v>-3.0242106533274864</v>
      </c>
      <c r="W141" s="9">
        <v>2</v>
      </c>
      <c r="X141" s="9">
        <v>219.44228857320002</v>
      </c>
      <c r="Y141" s="9">
        <v>6.5577114267999832</v>
      </c>
      <c r="AG141" s="9">
        <v>1</v>
      </c>
      <c r="AH141" s="9">
        <v>277.7290743545409</v>
      </c>
      <c r="AI141" s="9">
        <v>64.270925645459101</v>
      </c>
    </row>
    <row r="142" spans="13:41" x14ac:dyDescent="0.3">
      <c r="M142" s="9">
        <v>2</v>
      </c>
      <c r="N142" s="9">
        <v>350.14117180557759</v>
      </c>
      <c r="O142" s="9">
        <v>28.858828194422415</v>
      </c>
      <c r="W142" s="9">
        <v>3</v>
      </c>
      <c r="X142" s="9">
        <v>215.44270721773097</v>
      </c>
      <c r="Y142" s="9">
        <v>5.5572927822690303</v>
      </c>
      <c r="AG142" s="9">
        <v>2</v>
      </c>
      <c r="AH142" s="9">
        <v>310.19798095021133</v>
      </c>
      <c r="AI142" s="9">
        <v>12.802019049788669</v>
      </c>
    </row>
    <row r="143" spans="13:41" x14ac:dyDescent="0.3">
      <c r="M143" s="9">
        <v>3</v>
      </c>
      <c r="N143" s="9">
        <v>291.27784923154599</v>
      </c>
      <c r="O143" s="9">
        <v>51.722150768454014</v>
      </c>
      <c r="W143" s="9">
        <v>4</v>
      </c>
      <c r="X143" s="9">
        <v>223.37516233275761</v>
      </c>
      <c r="Y143" s="9">
        <v>2.6248376672423888</v>
      </c>
      <c r="AG143" s="9">
        <v>3</v>
      </c>
      <c r="AH143" s="9">
        <v>89.482664711531925</v>
      </c>
      <c r="AI143" s="9">
        <v>222.51733528846808</v>
      </c>
    </row>
    <row r="144" spans="13:41" x14ac:dyDescent="0.3">
      <c r="M144" s="9">
        <v>4</v>
      </c>
      <c r="N144" s="9">
        <v>405.66085894360231</v>
      </c>
      <c r="O144" s="9">
        <v>-14.660858943602307</v>
      </c>
      <c r="W144" s="9">
        <v>5</v>
      </c>
      <c r="X144" s="9">
        <v>220.52799138941432</v>
      </c>
      <c r="Y144" s="9">
        <v>-0.52799138941432489</v>
      </c>
      <c r="AG144" s="9">
        <v>4</v>
      </c>
      <c r="AH144" s="9">
        <v>501.4941068658527</v>
      </c>
      <c r="AI144" s="9">
        <v>-68.4941068658527</v>
      </c>
    </row>
    <row r="145" spans="13:35" x14ac:dyDescent="0.3">
      <c r="M145" s="9">
        <v>5</v>
      </c>
      <c r="N145" s="9">
        <v>365.45845436180093</v>
      </c>
      <c r="O145" s="9">
        <v>41.541545638199068</v>
      </c>
      <c r="W145" s="9">
        <v>6</v>
      </c>
      <c r="X145" s="9">
        <v>246.13575272272277</v>
      </c>
      <c r="Y145" s="9">
        <v>3.8642472772772294</v>
      </c>
      <c r="AG145" s="9">
        <v>5</v>
      </c>
      <c r="AH145" s="9">
        <v>346.10863435333022</v>
      </c>
      <c r="AI145" s="9">
        <v>68.891365646669783</v>
      </c>
    </row>
    <row r="146" spans="13:35" x14ac:dyDescent="0.3">
      <c r="M146" s="9">
        <v>6</v>
      </c>
      <c r="N146" s="9">
        <v>669.44385760908904</v>
      </c>
      <c r="O146" s="9">
        <v>57.556142390910964</v>
      </c>
      <c r="W146" s="9">
        <v>7</v>
      </c>
      <c r="X146" s="9">
        <v>224.76104933057363</v>
      </c>
      <c r="Y146" s="9">
        <v>12.238950669426373</v>
      </c>
      <c r="AG146" s="9">
        <v>6</v>
      </c>
      <c r="AH146" s="9">
        <v>1313.5109429666077</v>
      </c>
      <c r="AI146" s="9">
        <v>394.48905703339233</v>
      </c>
    </row>
    <row r="147" spans="13:35" x14ac:dyDescent="0.3">
      <c r="M147" s="9">
        <v>7</v>
      </c>
      <c r="N147" s="9">
        <v>416.8538830554362</v>
      </c>
      <c r="O147" s="9">
        <v>65.146116944563801</v>
      </c>
      <c r="W147" s="9">
        <v>8</v>
      </c>
      <c r="X147" s="9">
        <v>217.73944023700136</v>
      </c>
      <c r="Y147" s="9">
        <v>14.260559762998639</v>
      </c>
      <c r="AG147" s="9">
        <v>7</v>
      </c>
      <c r="AH147" s="9">
        <v>524.39324121528034</v>
      </c>
      <c r="AI147" s="9">
        <v>-155.39324121528034</v>
      </c>
    </row>
    <row r="148" spans="13:35" x14ac:dyDescent="0.3">
      <c r="M148" s="9">
        <v>8</v>
      </c>
      <c r="N148" s="9">
        <v>344.44338263570319</v>
      </c>
      <c r="O148" s="9">
        <v>1.5566173642968124</v>
      </c>
      <c r="W148" s="9">
        <v>9</v>
      </c>
      <c r="X148" s="9">
        <v>225.05354673840648</v>
      </c>
      <c r="Y148" s="9">
        <v>-10.053546738406482</v>
      </c>
      <c r="AG148" s="9">
        <v>8</v>
      </c>
      <c r="AH148" s="9">
        <v>318.29536369819107</v>
      </c>
      <c r="AI148" s="9">
        <v>85.704636301808932</v>
      </c>
    </row>
    <row r="149" spans="13:35" x14ac:dyDescent="0.3">
      <c r="M149" s="9">
        <v>9</v>
      </c>
      <c r="N149" s="9">
        <v>429.33108955766699</v>
      </c>
      <c r="O149" s="9">
        <v>-35.331089557666985</v>
      </c>
      <c r="W149" s="9">
        <v>10</v>
      </c>
      <c r="X149" s="9">
        <v>217.93127470414845</v>
      </c>
      <c r="Y149" s="9">
        <v>2.0687252958515501</v>
      </c>
      <c r="AG149" s="9">
        <v>9</v>
      </c>
      <c r="AH149" s="9">
        <v>580.87448895171565</v>
      </c>
      <c r="AI149" s="9">
        <v>-253.87448895171565</v>
      </c>
    </row>
    <row r="150" spans="13:35" x14ac:dyDescent="0.3">
      <c r="M150" s="9">
        <v>10</v>
      </c>
      <c r="N150" s="9">
        <v>338.34670676437884</v>
      </c>
      <c r="O150" s="9">
        <v>0.65329323562116315</v>
      </c>
      <c r="W150" s="9">
        <v>11</v>
      </c>
      <c r="X150" s="9">
        <v>219.86011336787467</v>
      </c>
      <c r="Y150" s="9">
        <v>2.1398866321253251</v>
      </c>
      <c r="AG150" s="9">
        <v>10</v>
      </c>
      <c r="AH150" s="9">
        <v>279.42630434479361</v>
      </c>
      <c r="AI150" s="9">
        <v>99.573695655206393</v>
      </c>
    </row>
    <row r="151" spans="13:35" x14ac:dyDescent="0.3">
      <c r="M151" s="9">
        <v>11</v>
      </c>
      <c r="N151" s="9">
        <v>364.4137802925747</v>
      </c>
      <c r="O151" s="9">
        <v>52.5862197074253</v>
      </c>
      <c r="W151" s="9">
        <v>12</v>
      </c>
      <c r="X151" s="9">
        <v>223.09984311291808</v>
      </c>
      <c r="Y151" s="9">
        <v>7.9001568870819199</v>
      </c>
      <c r="AG151" s="9">
        <v>11</v>
      </c>
      <c r="AH151" s="9">
        <v>366.4035310325753</v>
      </c>
      <c r="AI151" s="9">
        <v>-27.403531032575302</v>
      </c>
    </row>
    <row r="152" spans="13:35" x14ac:dyDescent="0.3">
      <c r="M152" s="9">
        <v>12</v>
      </c>
      <c r="N152" s="9">
        <v>407.8938965591899</v>
      </c>
      <c r="O152" s="9">
        <v>15.106103440810102</v>
      </c>
      <c r="W152" s="9">
        <v>13</v>
      </c>
      <c r="X152" s="9">
        <v>229.31126912572176</v>
      </c>
      <c r="Y152" s="9">
        <v>-0.31126912572176479</v>
      </c>
      <c r="AG152" s="9">
        <v>12</v>
      </c>
      <c r="AH152" s="9">
        <v>514.58700662797855</v>
      </c>
      <c r="AI152" s="9">
        <v>-82.587006627978553</v>
      </c>
    </row>
    <row r="153" spans="13:35" x14ac:dyDescent="0.3">
      <c r="M153" s="9">
        <v>13</v>
      </c>
      <c r="N153" s="9">
        <v>456.84056387679971</v>
      </c>
      <c r="O153" s="9">
        <v>-6.8405638767997061</v>
      </c>
      <c r="W153" s="9">
        <v>14</v>
      </c>
      <c r="X153" s="9">
        <v>220.22720566099409</v>
      </c>
      <c r="Y153" s="9">
        <v>-17.227205660994088</v>
      </c>
      <c r="AG153" s="9">
        <v>13</v>
      </c>
      <c r="AH153" s="9">
        <v>609.62707600070598</v>
      </c>
      <c r="AI153" s="9">
        <v>-149.62707600070598</v>
      </c>
    </row>
    <row r="154" spans="13:35" x14ac:dyDescent="0.3">
      <c r="M154" s="9">
        <v>14</v>
      </c>
      <c r="N154" s="9">
        <v>363.52299467248997</v>
      </c>
      <c r="O154" s="9">
        <v>-77.522994672489972</v>
      </c>
      <c r="W154" s="9">
        <v>15</v>
      </c>
      <c r="X154" s="9">
        <v>225.15340761666755</v>
      </c>
      <c r="Y154" s="9">
        <v>-18.15340761666755</v>
      </c>
      <c r="AG154" s="9">
        <v>14</v>
      </c>
      <c r="AH154" s="9">
        <v>364.77195045258441</v>
      </c>
      <c r="AI154" s="9">
        <v>-100.77195045258441</v>
      </c>
    </row>
    <row r="155" spans="13:35" x14ac:dyDescent="0.3">
      <c r="M155" s="9">
        <v>15</v>
      </c>
      <c r="N155" s="9">
        <v>416.19897398393164</v>
      </c>
      <c r="O155" s="9">
        <v>-113.19897398393164</v>
      </c>
      <c r="W155" s="9">
        <v>16</v>
      </c>
      <c r="X155" s="9">
        <v>217.54720473864191</v>
      </c>
      <c r="Y155" s="9">
        <v>-19.547204738641909</v>
      </c>
      <c r="AG155" s="9">
        <v>15</v>
      </c>
      <c r="AH155" s="9">
        <v>504.56835913574287</v>
      </c>
      <c r="AI155" s="9">
        <v>-208.56835913574287</v>
      </c>
    </row>
    <row r="156" spans="13:35" x14ac:dyDescent="0.3">
      <c r="M156" s="9">
        <v>16</v>
      </c>
      <c r="N156" s="9">
        <v>332.43744620762891</v>
      </c>
      <c r="O156" s="9">
        <v>-46.437446207628909</v>
      </c>
      <c r="W156" s="9">
        <v>17</v>
      </c>
      <c r="X156" s="9">
        <v>226.70646463547465</v>
      </c>
      <c r="Y156" s="9">
        <v>-0.70646463547464577</v>
      </c>
      <c r="AG156" s="9">
        <v>16</v>
      </c>
      <c r="AH156" s="9">
        <v>254.27420900343532</v>
      </c>
      <c r="AI156" s="9">
        <v>30.725790996564683</v>
      </c>
    </row>
    <row r="157" spans="13:35" x14ac:dyDescent="0.3">
      <c r="M157" s="9">
        <v>17</v>
      </c>
      <c r="N157" s="9">
        <v>439.37792628033333</v>
      </c>
      <c r="O157" s="9">
        <v>-70.377926280333327</v>
      </c>
      <c r="W157" s="9">
        <v>18</v>
      </c>
      <c r="X157" s="9">
        <v>219.88517884524305</v>
      </c>
      <c r="Y157" s="9">
        <v>7.1148211547569531</v>
      </c>
      <c r="AG157" s="9">
        <v>17</v>
      </c>
      <c r="AH157" s="9">
        <v>594.11545081495206</v>
      </c>
      <c r="AI157" s="9">
        <v>-211.11545081495206</v>
      </c>
    </row>
    <row r="158" spans="13:35" x14ac:dyDescent="0.3">
      <c r="M158" s="9">
        <v>18</v>
      </c>
      <c r="N158" s="9">
        <v>365.41188128640863</v>
      </c>
      <c r="O158" s="9">
        <v>77.588118713591371</v>
      </c>
      <c r="W158" s="9">
        <v>19</v>
      </c>
      <c r="X158" s="9">
        <v>218.73316946432962</v>
      </c>
      <c r="Y158" s="9">
        <v>-1.7331694643296203</v>
      </c>
      <c r="AG158" s="9">
        <v>18</v>
      </c>
      <c r="AH158" s="9">
        <v>371.19498735200705</v>
      </c>
      <c r="AI158" s="9">
        <v>20.805012647992953</v>
      </c>
    </row>
    <row r="159" spans="13:35" x14ac:dyDescent="0.3">
      <c r="M159" s="9">
        <v>19</v>
      </c>
      <c r="N159" s="9">
        <v>358.5937819914808</v>
      </c>
      <c r="O159" s="9">
        <v>61.406218008519204</v>
      </c>
      <c r="W159" s="9">
        <v>20</v>
      </c>
      <c r="X159" s="9">
        <v>217.43885502418729</v>
      </c>
      <c r="Y159" s="9">
        <v>0.56114497581270939</v>
      </c>
      <c r="AG159" s="9">
        <v>19</v>
      </c>
      <c r="AH159" s="9">
        <v>361.27850036547898</v>
      </c>
      <c r="AI159" s="9">
        <v>13.721499634521024</v>
      </c>
    </row>
    <row r="160" spans="13:35" x14ac:dyDescent="0.3">
      <c r="M160" s="9">
        <v>20</v>
      </c>
      <c r="N160" s="9">
        <v>342.72379125146597</v>
      </c>
      <c r="O160" s="9">
        <v>-20.723791251465968</v>
      </c>
      <c r="W160" s="9">
        <v>21</v>
      </c>
      <c r="X160" s="9">
        <v>219.34262821054517</v>
      </c>
      <c r="Y160" s="9">
        <v>-18.342628210545172</v>
      </c>
      <c r="AG160" s="9">
        <v>20</v>
      </c>
      <c r="AH160" s="9">
        <v>321.39218093292584</v>
      </c>
      <c r="AI160" s="9">
        <v>7.6078190670741606</v>
      </c>
    </row>
    <row r="161" spans="13:35" x14ac:dyDescent="0.3">
      <c r="M161" s="9">
        <v>21</v>
      </c>
      <c r="N161" s="9">
        <v>360.35925888333855</v>
      </c>
      <c r="O161" s="9">
        <v>-193.35925888333855</v>
      </c>
      <c r="W161" s="9">
        <v>22</v>
      </c>
      <c r="X161" s="9">
        <v>220.74529236514215</v>
      </c>
      <c r="Y161" s="9">
        <v>1.2547076348578514</v>
      </c>
      <c r="AG161" s="9">
        <v>21</v>
      </c>
      <c r="AH161" s="9">
        <v>347.19918324740138</v>
      </c>
      <c r="AI161" s="9">
        <v>-11.199183247401379</v>
      </c>
    </row>
    <row r="162" spans="13:35" ht="15" thickBot="1" x14ac:dyDescent="0.35">
      <c r="M162" s="9">
        <v>22</v>
      </c>
      <c r="N162" s="9">
        <v>371.15939924792997</v>
      </c>
      <c r="O162" s="9">
        <v>71.840600752070031</v>
      </c>
      <c r="W162" s="10">
        <v>23</v>
      </c>
      <c r="X162" s="10">
        <v>210.66729915748002</v>
      </c>
      <c r="Y162" s="10">
        <v>-1.6672991574800164</v>
      </c>
      <c r="AG162" s="9">
        <v>22</v>
      </c>
      <c r="AH162" s="9">
        <v>359.53157850756998</v>
      </c>
      <c r="AI162" s="9">
        <v>4.468421492430025</v>
      </c>
    </row>
    <row r="163" spans="13:35" ht="15" thickBot="1" x14ac:dyDescent="0.35">
      <c r="M163" s="10">
        <v>23</v>
      </c>
      <c r="N163" s="10">
        <v>260.0848408482999</v>
      </c>
      <c r="O163" s="10">
        <v>55.915159151700095</v>
      </c>
      <c r="AG163" s="10">
        <v>23</v>
      </c>
      <c r="AH163" s="10">
        <v>61.543184114562791</v>
      </c>
      <c r="AI163" s="10">
        <v>243.45681588543721</v>
      </c>
    </row>
  </sheetData>
  <mergeCells count="4">
    <mergeCell ref="C10:E10"/>
    <mergeCell ref="F10:H10"/>
    <mergeCell ref="I10:K10"/>
    <mergeCell ref="M27:P27"/>
  </mergeCells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60AB6-CAA1-4034-8582-98735647938E}">
  <sheetPr>
    <tabColor theme="5" tint="0.79998168889431442"/>
  </sheetPr>
  <dimension ref="B2:BH205"/>
  <sheetViews>
    <sheetView tabSelected="1" topLeftCell="A21" zoomScale="46" zoomScaleNormal="98" workbookViewId="0">
      <selection activeCell="F149" sqref="F149"/>
    </sheetView>
  </sheetViews>
  <sheetFormatPr defaultRowHeight="14.4" x14ac:dyDescent="0.3"/>
  <cols>
    <col min="2" max="2" width="41.109375" customWidth="1"/>
    <col min="3" max="3" width="24.109375" customWidth="1"/>
    <col min="4" max="4" width="29.77734375" customWidth="1"/>
    <col min="8" max="8" width="13.77734375" bestFit="1" customWidth="1"/>
    <col min="12" max="12" width="35.109375" customWidth="1"/>
    <col min="13" max="13" width="24.109375" customWidth="1"/>
    <col min="14" max="14" width="26.77734375" bestFit="1" customWidth="1"/>
    <col min="22" max="22" width="35.109375" customWidth="1"/>
    <col min="23" max="23" width="24.109375" customWidth="1"/>
    <col min="24" max="24" width="26.88671875" bestFit="1" customWidth="1"/>
    <col min="25" max="30" width="9" bestFit="1" customWidth="1"/>
    <col min="32" max="32" width="35.109375" customWidth="1"/>
    <col min="33" max="33" width="24.109375" customWidth="1"/>
    <col min="34" max="34" width="27.109375" bestFit="1" customWidth="1"/>
    <col min="35" max="35" width="9.21875" bestFit="1" customWidth="1"/>
    <col min="36" max="36" width="12" bestFit="1" customWidth="1"/>
    <col min="37" max="37" width="12.5546875" bestFit="1" customWidth="1"/>
    <col min="38" max="40" width="9" bestFit="1" customWidth="1"/>
    <col min="42" max="42" width="35.109375" customWidth="1"/>
    <col min="43" max="43" width="24.109375" customWidth="1"/>
    <col min="44" max="44" width="27" bestFit="1" customWidth="1"/>
    <col min="45" max="47" width="9" bestFit="1" customWidth="1"/>
    <col min="52" max="52" width="35.109375" customWidth="1"/>
    <col min="53" max="53" width="24.109375" customWidth="1"/>
    <col min="54" max="54" width="26.88671875" bestFit="1" customWidth="1"/>
    <col min="55" max="56" width="9" bestFit="1" customWidth="1"/>
    <col min="57" max="57" width="12.44140625" bestFit="1" customWidth="1"/>
  </cols>
  <sheetData>
    <row r="2" spans="2:4" ht="55.8" customHeight="1" x14ac:dyDescent="0.3">
      <c r="B2" s="156" t="s">
        <v>534</v>
      </c>
      <c r="C2" s="156" t="s">
        <v>520</v>
      </c>
      <c r="D2" s="156" t="s">
        <v>521</v>
      </c>
    </row>
    <row r="3" spans="2:4" ht="15.6" x14ac:dyDescent="0.3">
      <c r="B3" s="154">
        <v>1</v>
      </c>
      <c r="C3" s="154">
        <v>72</v>
      </c>
      <c r="D3" s="155">
        <v>4.2</v>
      </c>
    </row>
    <row r="4" spans="2:4" ht="15.6" x14ac:dyDescent="0.3">
      <c r="B4" s="154">
        <v>2</v>
      </c>
      <c r="C4" s="154">
        <v>75</v>
      </c>
      <c r="D4" s="155">
        <v>3</v>
      </c>
    </row>
    <row r="5" spans="2:4" ht="15.6" x14ac:dyDescent="0.3">
      <c r="B5" s="154">
        <v>3</v>
      </c>
      <c r="C5" s="154">
        <v>77</v>
      </c>
      <c r="D5" s="155">
        <v>2.4</v>
      </c>
    </row>
    <row r="6" spans="2:4" ht="15.6" x14ac:dyDescent="0.3">
      <c r="B6" s="154">
        <v>4</v>
      </c>
      <c r="C6" s="154">
        <v>77</v>
      </c>
      <c r="D6" s="155">
        <v>2</v>
      </c>
    </row>
    <row r="7" spans="2:4" ht="15.6" x14ac:dyDescent="0.3">
      <c r="B7" s="154">
        <v>5</v>
      </c>
      <c r="C7" s="154">
        <v>79</v>
      </c>
      <c r="D7" s="155">
        <v>1.9</v>
      </c>
    </row>
    <row r="8" spans="2:4" ht="15.6" x14ac:dyDescent="0.3">
      <c r="B8" s="154">
        <v>6</v>
      </c>
      <c r="C8" s="154">
        <v>80</v>
      </c>
      <c r="D8" s="155">
        <v>1.7</v>
      </c>
    </row>
    <row r="9" spans="2:4" ht="15.6" x14ac:dyDescent="0.3">
      <c r="B9" s="154">
        <v>7</v>
      </c>
      <c r="C9" s="154">
        <v>78</v>
      </c>
      <c r="D9" s="155">
        <v>1.8</v>
      </c>
    </row>
    <row r="10" spans="2:4" ht="15.6" x14ac:dyDescent="0.3">
      <c r="B10" s="154">
        <v>8</v>
      </c>
      <c r="C10" s="154">
        <v>79</v>
      </c>
      <c r="D10" s="155">
        <v>1.6</v>
      </c>
    </row>
    <row r="11" spans="2:4" ht="15.6" x14ac:dyDescent="0.3">
      <c r="B11" s="154">
        <v>9</v>
      </c>
      <c r="C11" s="154">
        <v>80</v>
      </c>
      <c r="D11" s="155">
        <v>1.7</v>
      </c>
    </row>
    <row r="12" spans="2:4" x14ac:dyDescent="0.3">
      <c r="B12" s="1"/>
      <c r="C12" s="1"/>
      <c r="D12" s="1"/>
    </row>
    <row r="15" spans="2:4" ht="22.8" customHeight="1" x14ac:dyDescent="0.3">
      <c r="B15" s="199" t="s">
        <v>500</v>
      </c>
      <c r="C15" s="199"/>
      <c r="D15" s="199"/>
    </row>
    <row r="17" spans="2:2" ht="22.2" customHeight="1" x14ac:dyDescent="0.3">
      <c r="B17" s="159" t="s">
        <v>517</v>
      </c>
    </row>
    <row r="33" spans="2:10" ht="22.8" customHeight="1" x14ac:dyDescent="0.3">
      <c r="B33" s="159" t="s">
        <v>518</v>
      </c>
    </row>
    <row r="35" spans="2:10" ht="22.8" customHeight="1" x14ac:dyDescent="0.3">
      <c r="B35" s="194" t="s">
        <v>504</v>
      </c>
      <c r="C35" s="194"/>
      <c r="D35" s="194"/>
      <c r="E35" s="194"/>
      <c r="H35" s="125" t="s">
        <v>502</v>
      </c>
      <c r="I35" s="125" t="s">
        <v>503</v>
      </c>
      <c r="J35" s="125" t="s">
        <v>509</v>
      </c>
    </row>
    <row r="36" spans="2:10" ht="15.6" x14ac:dyDescent="0.35">
      <c r="B36" t="s">
        <v>507</v>
      </c>
      <c r="C36" t="s">
        <v>505</v>
      </c>
      <c r="D36" t="s">
        <v>506</v>
      </c>
      <c r="E36" t="s">
        <v>511</v>
      </c>
      <c r="H36">
        <f>(E46-D46*C46)/(C47*D47)</f>
        <v>0.82717323993361591</v>
      </c>
      <c r="I36">
        <f>CORREL(C38:C45,D38:D45)</f>
        <v>0.82717323993361591</v>
      </c>
      <c r="J36" t="s">
        <v>510</v>
      </c>
    </row>
    <row r="37" spans="2:10" x14ac:dyDescent="0.3">
      <c r="B37">
        <f>B3</f>
        <v>1</v>
      </c>
      <c r="C37">
        <f>C3</f>
        <v>72</v>
      </c>
      <c r="D37" t="s">
        <v>18</v>
      </c>
      <c r="E37" t="s">
        <v>18</v>
      </c>
    </row>
    <row r="38" spans="2:10" x14ac:dyDescent="0.3">
      <c r="B38">
        <f t="shared" ref="B38:C45" si="0">B4</f>
        <v>2</v>
      </c>
      <c r="C38">
        <f t="shared" si="0"/>
        <v>75</v>
      </c>
      <c r="D38">
        <f>C37</f>
        <v>72</v>
      </c>
      <c r="E38">
        <f>C38*D38</f>
        <v>5400</v>
      </c>
    </row>
    <row r="39" spans="2:10" x14ac:dyDescent="0.3">
      <c r="B39">
        <f t="shared" si="0"/>
        <v>3</v>
      </c>
      <c r="C39">
        <f t="shared" si="0"/>
        <v>77</v>
      </c>
      <c r="D39">
        <f t="shared" ref="D39:D45" si="1">C38</f>
        <v>75</v>
      </c>
      <c r="E39">
        <f t="shared" ref="E39:E45" si="2">C39*D39</f>
        <v>5775</v>
      </c>
    </row>
    <row r="40" spans="2:10" x14ac:dyDescent="0.3">
      <c r="B40">
        <f t="shared" si="0"/>
        <v>4</v>
      </c>
      <c r="C40">
        <f t="shared" si="0"/>
        <v>77</v>
      </c>
      <c r="D40">
        <f t="shared" si="1"/>
        <v>77</v>
      </c>
      <c r="E40">
        <f t="shared" si="2"/>
        <v>5929</v>
      </c>
    </row>
    <row r="41" spans="2:10" x14ac:dyDescent="0.3">
      <c r="B41">
        <f t="shared" si="0"/>
        <v>5</v>
      </c>
      <c r="C41">
        <f t="shared" si="0"/>
        <v>79</v>
      </c>
      <c r="D41">
        <f t="shared" si="1"/>
        <v>77</v>
      </c>
      <c r="E41">
        <f t="shared" si="2"/>
        <v>6083</v>
      </c>
    </row>
    <row r="42" spans="2:10" x14ac:dyDescent="0.3">
      <c r="B42">
        <f t="shared" si="0"/>
        <v>6</v>
      </c>
      <c r="C42">
        <f t="shared" si="0"/>
        <v>80</v>
      </c>
      <c r="D42">
        <f t="shared" si="1"/>
        <v>79</v>
      </c>
      <c r="E42">
        <f t="shared" si="2"/>
        <v>6320</v>
      </c>
    </row>
    <row r="43" spans="2:10" x14ac:dyDescent="0.3">
      <c r="B43">
        <f t="shared" si="0"/>
        <v>7</v>
      </c>
      <c r="C43">
        <f t="shared" si="0"/>
        <v>78</v>
      </c>
      <c r="D43">
        <f t="shared" si="1"/>
        <v>80</v>
      </c>
      <c r="E43">
        <f t="shared" si="2"/>
        <v>6240</v>
      </c>
    </row>
    <row r="44" spans="2:10" x14ac:dyDescent="0.3">
      <c r="B44">
        <f t="shared" si="0"/>
        <v>8</v>
      </c>
      <c r="C44">
        <f t="shared" si="0"/>
        <v>79</v>
      </c>
      <c r="D44">
        <f t="shared" si="1"/>
        <v>78</v>
      </c>
      <c r="E44">
        <f t="shared" si="2"/>
        <v>6162</v>
      </c>
    </row>
    <row r="45" spans="2:10" x14ac:dyDescent="0.3">
      <c r="B45">
        <f t="shared" si="0"/>
        <v>9</v>
      </c>
      <c r="C45">
        <f t="shared" si="0"/>
        <v>80</v>
      </c>
      <c r="D45">
        <f t="shared" si="1"/>
        <v>79</v>
      </c>
      <c r="E45">
        <f t="shared" si="2"/>
        <v>6320</v>
      </c>
    </row>
    <row r="46" spans="2:10" x14ac:dyDescent="0.3">
      <c r="B46" t="s">
        <v>14</v>
      </c>
      <c r="C46">
        <f>AVERAGE(C38:C45)</f>
        <v>78.125</v>
      </c>
      <c r="D46">
        <f>AVERAGE(D38:D45)</f>
        <v>77.125</v>
      </c>
      <c r="E46">
        <f>AVERAGE(E38:E45)</f>
        <v>6028.625</v>
      </c>
    </row>
    <row r="47" spans="2:10" x14ac:dyDescent="0.3">
      <c r="B47" t="s">
        <v>508</v>
      </c>
      <c r="C47">
        <f>SQRT(_xlfn.VAR.P(C38:C45))</f>
        <v>1.6153559979150107</v>
      </c>
      <c r="D47">
        <f>SQRT(_xlfn.VAR.P(D38:D45))</f>
        <v>2.4206145913796355</v>
      </c>
    </row>
    <row r="51" spans="2:10" ht="25.2" customHeight="1" x14ac:dyDescent="0.3">
      <c r="B51" s="194" t="s">
        <v>516</v>
      </c>
      <c r="C51" s="194"/>
      <c r="D51" s="194"/>
      <c r="E51" s="194"/>
      <c r="H51" s="125" t="s">
        <v>502</v>
      </c>
      <c r="I51" s="125" t="s">
        <v>503</v>
      </c>
      <c r="J51" s="125" t="s">
        <v>509</v>
      </c>
    </row>
    <row r="52" spans="2:10" ht="15.6" x14ac:dyDescent="0.35">
      <c r="B52" t="s">
        <v>507</v>
      </c>
      <c r="C52" t="s">
        <v>512</v>
      </c>
      <c r="D52" t="s">
        <v>513</v>
      </c>
      <c r="E52" t="s">
        <v>514</v>
      </c>
      <c r="H52">
        <f>(E62-D62*C62)/(C63*D63)</f>
        <v>0.98310114499065748</v>
      </c>
      <c r="I52">
        <f>CORREL(C54:C61,D54:D61)</f>
        <v>0.98310114499065615</v>
      </c>
      <c r="J52" t="s">
        <v>515</v>
      </c>
    </row>
    <row r="53" spans="2:10" x14ac:dyDescent="0.3">
      <c r="B53">
        <f>B3</f>
        <v>1</v>
      </c>
      <c r="C53" s="157">
        <f>D3</f>
        <v>4.2</v>
      </c>
      <c r="D53" t="s">
        <v>18</v>
      </c>
      <c r="E53" t="s">
        <v>18</v>
      </c>
    </row>
    <row r="54" spans="2:10" x14ac:dyDescent="0.3">
      <c r="B54">
        <f t="shared" ref="B54:B61" si="3">B4</f>
        <v>2</v>
      </c>
      <c r="C54" s="157">
        <f t="shared" ref="C54:C61" si="4">D4</f>
        <v>3</v>
      </c>
      <c r="D54" s="157">
        <f>C53</f>
        <v>4.2</v>
      </c>
      <c r="E54">
        <f>D54*C54</f>
        <v>12.600000000000001</v>
      </c>
    </row>
    <row r="55" spans="2:10" x14ac:dyDescent="0.3">
      <c r="B55">
        <f t="shared" si="3"/>
        <v>3</v>
      </c>
      <c r="C55" s="157">
        <f t="shared" si="4"/>
        <v>2.4</v>
      </c>
      <c r="D55" s="157">
        <f t="shared" ref="D55:D61" si="5">C54</f>
        <v>3</v>
      </c>
      <c r="E55">
        <f t="shared" ref="E55:E61" si="6">D55*C55</f>
        <v>7.1999999999999993</v>
      </c>
    </row>
    <row r="56" spans="2:10" x14ac:dyDescent="0.3">
      <c r="B56">
        <f t="shared" si="3"/>
        <v>4</v>
      </c>
      <c r="C56" s="157">
        <f t="shared" si="4"/>
        <v>2</v>
      </c>
      <c r="D56" s="157">
        <f t="shared" si="5"/>
        <v>2.4</v>
      </c>
      <c r="E56">
        <f t="shared" si="6"/>
        <v>4.8</v>
      </c>
    </row>
    <row r="57" spans="2:10" x14ac:dyDescent="0.3">
      <c r="B57">
        <f t="shared" si="3"/>
        <v>5</v>
      </c>
      <c r="C57" s="157">
        <f t="shared" si="4"/>
        <v>1.9</v>
      </c>
      <c r="D57" s="157">
        <f t="shared" si="5"/>
        <v>2</v>
      </c>
      <c r="E57">
        <f t="shared" si="6"/>
        <v>3.8</v>
      </c>
    </row>
    <row r="58" spans="2:10" x14ac:dyDescent="0.3">
      <c r="B58">
        <f t="shared" si="3"/>
        <v>6</v>
      </c>
      <c r="C58" s="157">
        <f t="shared" si="4"/>
        <v>1.7</v>
      </c>
      <c r="D58" s="157">
        <f t="shared" si="5"/>
        <v>1.9</v>
      </c>
      <c r="E58">
        <f t="shared" si="6"/>
        <v>3.23</v>
      </c>
    </row>
    <row r="59" spans="2:10" x14ac:dyDescent="0.3">
      <c r="B59">
        <f t="shared" si="3"/>
        <v>7</v>
      </c>
      <c r="C59" s="157">
        <f t="shared" si="4"/>
        <v>1.8</v>
      </c>
      <c r="D59" s="157">
        <f t="shared" si="5"/>
        <v>1.7</v>
      </c>
      <c r="E59">
        <f t="shared" si="6"/>
        <v>3.06</v>
      </c>
    </row>
    <row r="60" spans="2:10" x14ac:dyDescent="0.3">
      <c r="B60">
        <f t="shared" si="3"/>
        <v>8</v>
      </c>
      <c r="C60" s="157">
        <f t="shared" si="4"/>
        <v>1.6</v>
      </c>
      <c r="D60" s="157">
        <f t="shared" si="5"/>
        <v>1.8</v>
      </c>
      <c r="E60">
        <f t="shared" si="6"/>
        <v>2.8800000000000003</v>
      </c>
    </row>
    <row r="61" spans="2:10" x14ac:dyDescent="0.3">
      <c r="B61">
        <f t="shared" si="3"/>
        <v>9</v>
      </c>
      <c r="C61" s="157">
        <f t="shared" si="4"/>
        <v>1.7</v>
      </c>
      <c r="D61" s="157">
        <f t="shared" si="5"/>
        <v>1.6</v>
      </c>
      <c r="E61">
        <f t="shared" si="6"/>
        <v>2.72</v>
      </c>
    </row>
    <row r="62" spans="2:10" x14ac:dyDescent="0.3">
      <c r="B62" t="s">
        <v>14</v>
      </c>
      <c r="C62">
        <f>AVERAGE(C54:C61)</f>
        <v>2.0125000000000002</v>
      </c>
      <c r="D62">
        <f>AVERAGE(D54:D61)</f>
        <v>2.3250000000000002</v>
      </c>
      <c r="E62">
        <f>AVERAGE(E54:E61)</f>
        <v>5.0362500000000008</v>
      </c>
    </row>
    <row r="63" spans="2:10" x14ac:dyDescent="0.3">
      <c r="B63" t="s">
        <v>508</v>
      </c>
      <c r="C63">
        <f>SQRT(_xlfn.VAR.P(C54:C61))</f>
        <v>0.43999289766995081</v>
      </c>
      <c r="D63">
        <f>SQRT(_xlfn.VAR.P(D54:D61))</f>
        <v>0.82575722824568709</v>
      </c>
    </row>
    <row r="66" spans="2:17" ht="22.8" customHeight="1" x14ac:dyDescent="0.3">
      <c r="B66" s="159" t="s">
        <v>519</v>
      </c>
    </row>
    <row r="67" spans="2:17" ht="25.2" customHeight="1" x14ac:dyDescent="0.3">
      <c r="B67" s="56" t="s">
        <v>522</v>
      </c>
      <c r="L67" s="56" t="s">
        <v>523</v>
      </c>
    </row>
    <row r="68" spans="2:17" x14ac:dyDescent="0.3">
      <c r="B68" t="s">
        <v>23</v>
      </c>
      <c r="L68" t="s">
        <v>23</v>
      </c>
    </row>
    <row r="69" spans="2:17" ht="15" thickBot="1" x14ac:dyDescent="0.35"/>
    <row r="70" spans="2:17" x14ac:dyDescent="0.3">
      <c r="B70" s="12" t="s">
        <v>24</v>
      </c>
      <c r="C70" s="12"/>
      <c r="L70" s="12" t="s">
        <v>24</v>
      </c>
      <c r="M70" s="12"/>
    </row>
    <row r="71" spans="2:17" x14ac:dyDescent="0.3">
      <c r="B71" s="9" t="s">
        <v>25</v>
      </c>
      <c r="C71" s="9">
        <v>0.85907641981488891</v>
      </c>
      <c r="L71" s="9" t="s">
        <v>25</v>
      </c>
      <c r="M71" s="9">
        <v>0.84144715851135454</v>
      </c>
    </row>
    <row r="72" spans="2:17" x14ac:dyDescent="0.3">
      <c r="B72" s="9" t="s">
        <v>26</v>
      </c>
      <c r="C72" s="9">
        <v>0.73801229508196731</v>
      </c>
      <c r="L72" s="9" t="s">
        <v>26</v>
      </c>
      <c r="M72" s="9">
        <v>0.70803332056683255</v>
      </c>
    </row>
    <row r="73" spans="2:17" x14ac:dyDescent="0.3">
      <c r="B73" s="9" t="s">
        <v>27</v>
      </c>
      <c r="C73" s="9">
        <v>0.70058548009367694</v>
      </c>
      <c r="L73" s="9" t="s">
        <v>27</v>
      </c>
      <c r="M73" s="9">
        <v>0.66632379493352289</v>
      </c>
    </row>
    <row r="74" spans="2:17" x14ac:dyDescent="0.3">
      <c r="B74" s="9" t="s">
        <v>28</v>
      </c>
      <c r="C74" s="9">
        <v>1.4245578539901704</v>
      </c>
      <c r="L74" s="9" t="s">
        <v>28</v>
      </c>
      <c r="M74" s="9">
        <v>0.49194302160711312</v>
      </c>
    </row>
    <row r="75" spans="2:17" ht="15" thickBot="1" x14ac:dyDescent="0.35">
      <c r="B75" s="10" t="s">
        <v>29</v>
      </c>
      <c r="C75" s="10">
        <v>9</v>
      </c>
      <c r="L75" s="10" t="s">
        <v>29</v>
      </c>
      <c r="M75" s="10">
        <v>9</v>
      </c>
    </row>
    <row r="77" spans="2:17" ht="15" thickBot="1" x14ac:dyDescent="0.35">
      <c r="B77" t="s">
        <v>30</v>
      </c>
      <c r="L77" t="s">
        <v>30</v>
      </c>
    </row>
    <row r="78" spans="2:17" x14ac:dyDescent="0.3">
      <c r="B78" s="11"/>
      <c r="C78" s="11" t="s">
        <v>35</v>
      </c>
      <c r="D78" s="11" t="s">
        <v>36</v>
      </c>
      <c r="E78" s="11" t="s">
        <v>37</v>
      </c>
      <c r="F78" s="11" t="s">
        <v>38</v>
      </c>
      <c r="G78" s="11" t="s">
        <v>39</v>
      </c>
      <c r="L78" s="11"/>
      <c r="M78" s="11" t="s">
        <v>35</v>
      </c>
      <c r="N78" s="11" t="s">
        <v>36</v>
      </c>
      <c r="O78" s="11" t="s">
        <v>37</v>
      </c>
      <c r="P78" s="11" t="s">
        <v>38</v>
      </c>
      <c r="Q78" s="11" t="s">
        <v>39</v>
      </c>
    </row>
    <row r="79" spans="2:17" x14ac:dyDescent="0.3">
      <c r="B79" s="9" t="s">
        <v>31</v>
      </c>
      <c r="C79" s="9">
        <v>1</v>
      </c>
      <c r="D79" s="9">
        <v>40.01666666666668</v>
      </c>
      <c r="E79" s="9">
        <v>40.01666666666668</v>
      </c>
      <c r="F79" s="9">
        <v>19.718811106765745</v>
      </c>
      <c r="G79" s="9">
        <v>3.0055745249814702E-3</v>
      </c>
      <c r="L79" s="9" t="s">
        <v>31</v>
      </c>
      <c r="M79" s="9">
        <v>1</v>
      </c>
      <c r="N79" s="9">
        <v>4.1081666666666656</v>
      </c>
      <c r="O79" s="9">
        <v>4.1081666666666656</v>
      </c>
      <c r="P79" s="9">
        <v>16.975338602302159</v>
      </c>
      <c r="Q79" s="9">
        <v>4.4589276789947776E-3</v>
      </c>
    </row>
    <row r="80" spans="2:17" x14ac:dyDescent="0.3">
      <c r="B80" s="9" t="s">
        <v>32</v>
      </c>
      <c r="C80" s="9">
        <v>7</v>
      </c>
      <c r="D80" s="9">
        <v>14.205555555555557</v>
      </c>
      <c r="E80" s="9">
        <v>2.0293650793650797</v>
      </c>
      <c r="F80" s="9"/>
      <c r="G80" s="9"/>
      <c r="L80" s="9" t="s">
        <v>32</v>
      </c>
      <c r="M80" s="9">
        <v>7</v>
      </c>
      <c r="N80" s="9">
        <v>1.6940555555555561</v>
      </c>
      <c r="O80" s="9">
        <v>0.24200793650793659</v>
      </c>
      <c r="P80" s="9"/>
      <c r="Q80" s="9"/>
    </row>
    <row r="81" spans="2:54" ht="15" thickBot="1" x14ac:dyDescent="0.35">
      <c r="B81" s="10" t="s">
        <v>33</v>
      </c>
      <c r="C81" s="10">
        <v>8</v>
      </c>
      <c r="D81" s="10">
        <v>54.222222222222236</v>
      </c>
      <c r="E81" s="10"/>
      <c r="F81" s="10"/>
      <c r="G81" s="10"/>
      <c r="L81" s="10" t="s">
        <v>33</v>
      </c>
      <c r="M81" s="10">
        <v>8</v>
      </c>
      <c r="N81" s="10">
        <v>5.8022222222222215</v>
      </c>
      <c r="O81" s="10"/>
      <c r="P81" s="10"/>
      <c r="Q81" s="10"/>
    </row>
    <row r="82" spans="2:54" ht="15" thickBot="1" x14ac:dyDescent="0.35"/>
    <row r="83" spans="2:54" x14ac:dyDescent="0.3">
      <c r="B83" s="11"/>
      <c r="C83" s="11" t="s">
        <v>40</v>
      </c>
      <c r="D83" s="11" t="s">
        <v>28</v>
      </c>
      <c r="E83" s="11" t="s">
        <v>41</v>
      </c>
      <c r="F83" s="11" t="s">
        <v>42</v>
      </c>
      <c r="G83" s="11" t="s">
        <v>43</v>
      </c>
      <c r="H83" s="11" t="s">
        <v>44</v>
      </c>
      <c r="I83" s="11" t="s">
        <v>45</v>
      </c>
      <c r="J83" s="11" t="s">
        <v>46</v>
      </c>
      <c r="L83" s="11"/>
      <c r="M83" s="11" t="s">
        <v>40</v>
      </c>
      <c r="N83" s="11" t="s">
        <v>28</v>
      </c>
      <c r="O83" s="11" t="s">
        <v>41</v>
      </c>
      <c r="P83" s="11" t="s">
        <v>42</v>
      </c>
      <c r="Q83" s="11" t="s">
        <v>43</v>
      </c>
      <c r="R83" s="11" t="s">
        <v>44</v>
      </c>
      <c r="S83" s="11" t="s">
        <v>45</v>
      </c>
      <c r="T83" s="11" t="s">
        <v>46</v>
      </c>
    </row>
    <row r="84" spans="2:54" x14ac:dyDescent="0.3">
      <c r="B84" s="9" t="s">
        <v>34</v>
      </c>
      <c r="C84" s="9">
        <v>73.361111111111114</v>
      </c>
      <c r="D84" s="9">
        <v>1.0349172874617205</v>
      </c>
      <c r="E84" s="9">
        <v>70.885965477530576</v>
      </c>
      <c r="F84" s="9">
        <v>2.9239666997947302E-11</v>
      </c>
      <c r="G84" s="9">
        <v>70.913920594786504</v>
      </c>
      <c r="H84" s="9">
        <v>75.808301627435725</v>
      </c>
      <c r="I84" s="9">
        <v>70.913920594786504</v>
      </c>
      <c r="J84" s="9">
        <v>75.808301627435725</v>
      </c>
      <c r="L84" s="9" t="s">
        <v>34</v>
      </c>
      <c r="M84" s="9">
        <v>3.5638888888888891</v>
      </c>
      <c r="N84" s="9">
        <v>0.35738831952757533</v>
      </c>
      <c r="O84" s="9">
        <v>9.9720351622009495</v>
      </c>
      <c r="P84" s="9">
        <v>2.1792770705177951E-5</v>
      </c>
      <c r="Q84" s="9">
        <v>2.718799801297993</v>
      </c>
      <c r="R84" s="9">
        <v>4.4089779764797852</v>
      </c>
      <c r="S84" s="9">
        <v>2.718799801297993</v>
      </c>
      <c r="T84" s="9">
        <v>4.4089779764797852</v>
      </c>
    </row>
    <row r="85" spans="2:54" ht="15" thickBot="1" x14ac:dyDescent="0.35">
      <c r="B85" s="10" t="s">
        <v>501</v>
      </c>
      <c r="C85" s="10">
        <v>0.81666666666666665</v>
      </c>
      <c r="D85" s="10">
        <v>0.18390962814043021</v>
      </c>
      <c r="E85" s="10">
        <v>4.4405867975714362</v>
      </c>
      <c r="F85" s="158">
        <v>3.0055745249814698E-3</v>
      </c>
      <c r="G85" s="10">
        <v>0.38178949986439448</v>
      </c>
      <c r="H85" s="10">
        <v>1.2515438334689388</v>
      </c>
      <c r="I85" s="10">
        <v>0.38178949986439448</v>
      </c>
      <c r="J85" s="10">
        <v>1.2515438334689388</v>
      </c>
      <c r="L85" s="10" t="s">
        <v>501</v>
      </c>
      <c r="M85" s="10">
        <v>-0.26166666666666666</v>
      </c>
      <c r="N85" s="10">
        <v>6.350957099891015E-2</v>
      </c>
      <c r="O85" s="10">
        <v>-4.1201139064717811</v>
      </c>
      <c r="P85" s="158">
        <v>4.4589276789947776E-3</v>
      </c>
      <c r="Q85" s="10">
        <v>-0.41184293845894338</v>
      </c>
      <c r="R85" s="10">
        <v>-0.11149039487438991</v>
      </c>
      <c r="S85" s="10">
        <v>-0.41184293845894338</v>
      </c>
      <c r="T85" s="10">
        <v>-0.11149039487438991</v>
      </c>
    </row>
    <row r="90" spans="2:54" ht="24.6" customHeight="1" x14ac:dyDescent="0.3">
      <c r="B90" s="199" t="s">
        <v>524</v>
      </c>
      <c r="C90" s="199"/>
      <c r="D90" s="199"/>
    </row>
    <row r="93" spans="2:54" ht="23.4" customHeight="1" x14ac:dyDescent="0.3">
      <c r="B93" s="186" t="s">
        <v>525</v>
      </c>
      <c r="C93" s="186"/>
      <c r="D93" s="186"/>
      <c r="L93" s="186" t="s">
        <v>221</v>
      </c>
      <c r="M93" s="186"/>
      <c r="N93" s="186"/>
      <c r="V93" s="186" t="s">
        <v>226</v>
      </c>
      <c r="W93" s="186"/>
      <c r="X93" s="186"/>
      <c r="AF93" s="186" t="s">
        <v>526</v>
      </c>
      <c r="AG93" s="186"/>
      <c r="AH93" s="186"/>
      <c r="AP93" s="186" t="s">
        <v>238</v>
      </c>
      <c r="AQ93" s="186"/>
      <c r="AR93" s="186"/>
      <c r="AZ93" s="186" t="s">
        <v>241</v>
      </c>
      <c r="BA93" s="186"/>
      <c r="BB93" s="186"/>
    </row>
    <row r="94" spans="2:54" ht="16.2" x14ac:dyDescent="0.3">
      <c r="B94" t="s">
        <v>528</v>
      </c>
      <c r="C94" t="s">
        <v>530</v>
      </c>
      <c r="D94" t="s">
        <v>531</v>
      </c>
      <c r="L94" t="s">
        <v>528</v>
      </c>
      <c r="M94" t="s">
        <v>530</v>
      </c>
      <c r="N94" t="s">
        <v>531</v>
      </c>
      <c r="V94" t="s">
        <v>528</v>
      </c>
      <c r="W94" t="s">
        <v>530</v>
      </c>
      <c r="X94" t="s">
        <v>531</v>
      </c>
      <c r="AF94" t="s">
        <v>528</v>
      </c>
      <c r="AG94" t="s">
        <v>530</v>
      </c>
      <c r="AH94" t="s">
        <v>531</v>
      </c>
      <c r="AP94" t="s">
        <v>528</v>
      </c>
      <c r="AQ94" t="s">
        <v>530</v>
      </c>
      <c r="AR94" t="s">
        <v>531</v>
      </c>
      <c r="AZ94" t="s">
        <v>528</v>
      </c>
      <c r="BA94" t="s">
        <v>530</v>
      </c>
      <c r="BB94" t="s">
        <v>531</v>
      </c>
    </row>
    <row r="95" spans="2:54" x14ac:dyDescent="0.3">
      <c r="B95" t="s">
        <v>529</v>
      </c>
      <c r="C95" t="s">
        <v>532</v>
      </c>
      <c r="D95">
        <f>C73</f>
        <v>0.70058548009367694</v>
      </c>
      <c r="L95" t="s">
        <v>529</v>
      </c>
      <c r="M95" t="s">
        <v>532</v>
      </c>
      <c r="N95">
        <f>M116</f>
        <v>0.88452595935318434</v>
      </c>
      <c r="V95" t="s">
        <v>529</v>
      </c>
      <c r="W95" t="s">
        <v>532</v>
      </c>
      <c r="X95">
        <f>W115</f>
        <v>0.86380668511816039</v>
      </c>
      <c r="AF95" s="161" t="s">
        <v>529</v>
      </c>
      <c r="AG95" s="161" t="s">
        <v>532</v>
      </c>
      <c r="AH95" s="161">
        <f>AG115</f>
        <v>0.8872328527832879</v>
      </c>
      <c r="AP95" t="s">
        <v>529</v>
      </c>
      <c r="AQ95" t="s">
        <v>532</v>
      </c>
      <c r="AR95">
        <f>AQ115</f>
        <v>0.69452824763747034</v>
      </c>
      <c r="AZ95" t="s">
        <v>529</v>
      </c>
      <c r="BA95" t="s">
        <v>532</v>
      </c>
      <c r="BB95">
        <f>BA115</f>
        <v>0.88615680410660114</v>
      </c>
    </row>
    <row r="96" spans="2:54" x14ac:dyDescent="0.3">
      <c r="B96" t="s">
        <v>527</v>
      </c>
      <c r="C96" t="s">
        <v>532</v>
      </c>
      <c r="D96">
        <f>M73</f>
        <v>0.66632379493352289</v>
      </c>
      <c r="L96" s="161" t="s">
        <v>527</v>
      </c>
      <c r="M96" s="161" t="s">
        <v>532</v>
      </c>
      <c r="N96" s="161">
        <f>M149</f>
        <v>0.98317358331040894</v>
      </c>
      <c r="V96" t="s">
        <v>527</v>
      </c>
      <c r="W96" t="s">
        <v>532</v>
      </c>
      <c r="X96">
        <f>W149</f>
        <v>0.93869493203081855</v>
      </c>
      <c r="AF96" t="s">
        <v>527</v>
      </c>
      <c r="AG96" t="s">
        <v>532</v>
      </c>
      <c r="AH96">
        <f>AG149</f>
        <v>0.95575738000645427</v>
      </c>
      <c r="AP96" t="s">
        <v>527</v>
      </c>
      <c r="AQ96" t="s">
        <v>532</v>
      </c>
      <c r="AR96">
        <f>AQ149</f>
        <v>0.76087511600234869</v>
      </c>
      <c r="AZ96" t="s">
        <v>527</v>
      </c>
      <c r="BA96" t="s">
        <v>532</v>
      </c>
      <c r="BB96">
        <f>BA149</f>
        <v>0.91632971479827974</v>
      </c>
    </row>
    <row r="98" spans="2:54" ht="26.4" customHeight="1" x14ac:dyDescent="0.3">
      <c r="L98" s="198" t="s">
        <v>535</v>
      </c>
      <c r="M98" s="198"/>
      <c r="N98" s="198"/>
      <c r="V98" s="198" t="s">
        <v>537</v>
      </c>
      <c r="W98" s="198"/>
      <c r="X98" s="198"/>
      <c r="AF98" s="198" t="s">
        <v>543</v>
      </c>
      <c r="AG98" s="198"/>
      <c r="AH98" s="198"/>
      <c r="AP98" s="198" t="s">
        <v>547</v>
      </c>
      <c r="AQ98" s="198"/>
      <c r="AR98" s="198"/>
      <c r="AZ98" s="198" t="s">
        <v>549</v>
      </c>
      <c r="BA98" s="198"/>
      <c r="BB98" s="198"/>
    </row>
    <row r="99" spans="2:54" ht="16.8" x14ac:dyDescent="0.35">
      <c r="L99" t="s">
        <v>236</v>
      </c>
      <c r="M99" t="s">
        <v>533</v>
      </c>
      <c r="V99" t="s">
        <v>236</v>
      </c>
      <c r="W99" t="s">
        <v>540</v>
      </c>
      <c r="X99" t="s">
        <v>539</v>
      </c>
      <c r="AF99" t="s">
        <v>544</v>
      </c>
      <c r="AG99" t="s">
        <v>545</v>
      </c>
      <c r="AP99" t="s">
        <v>544</v>
      </c>
      <c r="AQ99" t="s">
        <v>507</v>
      </c>
      <c r="AZ99" t="s">
        <v>236</v>
      </c>
      <c r="BA99" t="s">
        <v>545</v>
      </c>
    </row>
    <row r="100" spans="2:54" x14ac:dyDescent="0.3">
      <c r="L100">
        <f>C3</f>
        <v>72</v>
      </c>
      <c r="M100">
        <f>1/B3</f>
        <v>1</v>
      </c>
      <c r="V100" cm="1">
        <f t="array" ref="V100:V108">C3:C11</f>
        <v>72</v>
      </c>
      <c r="W100" cm="1">
        <f t="array" ref="W100:W108">B3:B11</f>
        <v>1</v>
      </c>
      <c r="X100">
        <f>W100^2</f>
        <v>1</v>
      </c>
      <c r="AF100">
        <f>LN(C3)</f>
        <v>4.2766661190160553</v>
      </c>
      <c r="AG100">
        <f>LN(B3)</f>
        <v>0</v>
      </c>
      <c r="AP100">
        <f>LN(C3)</f>
        <v>4.2766661190160553</v>
      </c>
      <c r="AQ100">
        <f>B3</f>
        <v>1</v>
      </c>
      <c r="AZ100">
        <f>C3</f>
        <v>72</v>
      </c>
      <c r="BA100">
        <f>LN(B3)</f>
        <v>0</v>
      </c>
    </row>
    <row r="101" spans="2:54" ht="26.4" customHeight="1" x14ac:dyDescent="0.3">
      <c r="B101" s="199" t="s">
        <v>551</v>
      </c>
      <c r="C101" s="199"/>
      <c r="D101" s="199"/>
      <c r="L101">
        <f t="shared" ref="L101:L108" si="7">C4</f>
        <v>75</v>
      </c>
      <c r="M101">
        <f t="shared" ref="M101:M108" si="8">1/B4</f>
        <v>0.5</v>
      </c>
      <c r="V101">
        <v>75</v>
      </c>
      <c r="W101">
        <v>2</v>
      </c>
      <c r="X101">
        <f t="shared" ref="X101:X108" si="9">W101^2</f>
        <v>4</v>
      </c>
      <c r="AF101">
        <f t="shared" ref="AF101:AF108" si="10">LN(C4)</f>
        <v>4.3174881135363101</v>
      </c>
      <c r="AG101">
        <f t="shared" ref="AG101:AG108" si="11">LN(B4)</f>
        <v>0.69314718055994529</v>
      </c>
      <c r="AP101">
        <f t="shared" ref="AP101:AP108" si="12">LN(C4)</f>
        <v>4.3174881135363101</v>
      </c>
      <c r="AQ101">
        <f t="shared" ref="AQ101:AQ108" si="13">B4</f>
        <v>2</v>
      </c>
      <c r="AZ101">
        <f t="shared" ref="AZ101:AZ108" si="14">C4</f>
        <v>75</v>
      </c>
      <c r="BA101">
        <f t="shared" ref="BA101:BA108" si="15">LN(B4)</f>
        <v>0.69314718055994529</v>
      </c>
    </row>
    <row r="102" spans="2:54" ht="24" customHeight="1" x14ac:dyDescent="0.3">
      <c r="B102" s="201">
        <f>CORREL(C3:C11,D3:D11)</f>
        <v>-0.95968878702953664</v>
      </c>
      <c r="C102" s="201"/>
      <c r="D102" s="201"/>
      <c r="L102">
        <f t="shared" si="7"/>
        <v>77</v>
      </c>
      <c r="M102">
        <f t="shared" si="8"/>
        <v>0.33333333333333331</v>
      </c>
      <c r="V102">
        <v>77</v>
      </c>
      <c r="W102">
        <v>3</v>
      </c>
      <c r="X102">
        <f t="shared" si="9"/>
        <v>9</v>
      </c>
      <c r="AF102">
        <f t="shared" si="10"/>
        <v>4.3438054218536841</v>
      </c>
      <c r="AG102">
        <f t="shared" si="11"/>
        <v>1.0986122886681098</v>
      </c>
      <c r="AP102">
        <f t="shared" si="12"/>
        <v>4.3438054218536841</v>
      </c>
      <c r="AQ102">
        <f t="shared" si="13"/>
        <v>3</v>
      </c>
      <c r="AZ102">
        <f t="shared" si="14"/>
        <v>77</v>
      </c>
      <c r="BA102">
        <f t="shared" si="15"/>
        <v>1.0986122886681098</v>
      </c>
    </row>
    <row r="103" spans="2:54" x14ac:dyDescent="0.3">
      <c r="L103">
        <f t="shared" si="7"/>
        <v>77</v>
      </c>
      <c r="M103">
        <f t="shared" si="8"/>
        <v>0.25</v>
      </c>
      <c r="V103">
        <v>77</v>
      </c>
      <c r="W103">
        <v>4</v>
      </c>
      <c r="X103">
        <f t="shared" si="9"/>
        <v>16</v>
      </c>
      <c r="AF103">
        <f t="shared" si="10"/>
        <v>4.3438054218536841</v>
      </c>
      <c r="AG103">
        <f t="shared" si="11"/>
        <v>1.3862943611198906</v>
      </c>
      <c r="AP103">
        <f t="shared" si="12"/>
        <v>4.3438054218536841</v>
      </c>
      <c r="AQ103">
        <f t="shared" si="13"/>
        <v>4</v>
      </c>
      <c r="AZ103">
        <f t="shared" si="14"/>
        <v>77</v>
      </c>
      <c r="BA103">
        <f t="shared" si="15"/>
        <v>1.3862943611198906</v>
      </c>
    </row>
    <row r="104" spans="2:54" x14ac:dyDescent="0.3">
      <c r="L104">
        <f t="shared" si="7"/>
        <v>79</v>
      </c>
      <c r="M104">
        <f t="shared" si="8"/>
        <v>0.2</v>
      </c>
      <c r="V104">
        <v>79</v>
      </c>
      <c r="W104">
        <v>5</v>
      </c>
      <c r="X104">
        <f t="shared" si="9"/>
        <v>25</v>
      </c>
      <c r="AF104">
        <f t="shared" si="10"/>
        <v>4.3694478524670215</v>
      </c>
      <c r="AG104">
        <f t="shared" si="11"/>
        <v>1.6094379124341003</v>
      </c>
      <c r="AP104">
        <f t="shared" si="12"/>
        <v>4.3694478524670215</v>
      </c>
      <c r="AQ104">
        <f t="shared" si="13"/>
        <v>5</v>
      </c>
      <c r="AZ104">
        <f t="shared" si="14"/>
        <v>79</v>
      </c>
      <c r="BA104">
        <f t="shared" si="15"/>
        <v>1.6094379124341003</v>
      </c>
    </row>
    <row r="105" spans="2:54" x14ac:dyDescent="0.3">
      <c r="L105">
        <f t="shared" si="7"/>
        <v>80</v>
      </c>
      <c r="M105">
        <f t="shared" si="8"/>
        <v>0.16666666666666666</v>
      </c>
      <c r="V105">
        <v>80</v>
      </c>
      <c r="W105">
        <v>6</v>
      </c>
      <c r="X105">
        <f t="shared" si="9"/>
        <v>36</v>
      </c>
      <c r="AF105">
        <f t="shared" si="10"/>
        <v>4.3820266346738812</v>
      </c>
      <c r="AG105">
        <f t="shared" si="11"/>
        <v>1.791759469228055</v>
      </c>
      <c r="AP105">
        <f t="shared" si="12"/>
        <v>4.3820266346738812</v>
      </c>
      <c r="AQ105">
        <f t="shared" si="13"/>
        <v>6</v>
      </c>
      <c r="AZ105">
        <f t="shared" si="14"/>
        <v>80</v>
      </c>
      <c r="BA105">
        <f t="shared" si="15"/>
        <v>1.791759469228055</v>
      </c>
    </row>
    <row r="106" spans="2:54" x14ac:dyDescent="0.3">
      <c r="L106">
        <f t="shared" si="7"/>
        <v>78</v>
      </c>
      <c r="M106">
        <f t="shared" si="8"/>
        <v>0.14285714285714285</v>
      </c>
      <c r="V106">
        <v>78</v>
      </c>
      <c r="W106">
        <v>7</v>
      </c>
      <c r="X106">
        <f t="shared" si="9"/>
        <v>49</v>
      </c>
      <c r="AF106">
        <f t="shared" si="10"/>
        <v>4.3567088266895917</v>
      </c>
      <c r="AG106">
        <f t="shared" si="11"/>
        <v>1.9459101490553132</v>
      </c>
      <c r="AP106">
        <f t="shared" si="12"/>
        <v>4.3567088266895917</v>
      </c>
      <c r="AQ106">
        <f t="shared" si="13"/>
        <v>7</v>
      </c>
      <c r="AZ106">
        <f t="shared" si="14"/>
        <v>78</v>
      </c>
      <c r="BA106">
        <f t="shared" si="15"/>
        <v>1.9459101490553132</v>
      </c>
    </row>
    <row r="107" spans="2:54" x14ac:dyDescent="0.3">
      <c r="L107">
        <f t="shared" si="7"/>
        <v>79</v>
      </c>
      <c r="M107">
        <f t="shared" si="8"/>
        <v>0.125</v>
      </c>
      <c r="V107">
        <v>79</v>
      </c>
      <c r="W107">
        <v>8</v>
      </c>
      <c r="X107">
        <f t="shared" si="9"/>
        <v>64</v>
      </c>
      <c r="AF107">
        <f t="shared" si="10"/>
        <v>4.3694478524670215</v>
      </c>
      <c r="AG107">
        <f t="shared" si="11"/>
        <v>2.0794415416798357</v>
      </c>
      <c r="AP107">
        <f t="shared" si="12"/>
        <v>4.3694478524670215</v>
      </c>
      <c r="AQ107">
        <f t="shared" si="13"/>
        <v>8</v>
      </c>
      <c r="AZ107">
        <f t="shared" si="14"/>
        <v>79</v>
      </c>
      <c r="BA107">
        <f t="shared" si="15"/>
        <v>2.0794415416798357</v>
      </c>
    </row>
    <row r="108" spans="2:54" x14ac:dyDescent="0.3">
      <c r="L108">
        <f t="shared" si="7"/>
        <v>80</v>
      </c>
      <c r="M108">
        <f t="shared" si="8"/>
        <v>0.1111111111111111</v>
      </c>
      <c r="V108">
        <v>80</v>
      </c>
      <c r="W108">
        <v>9</v>
      </c>
      <c r="X108">
        <f t="shared" si="9"/>
        <v>81</v>
      </c>
      <c r="AF108">
        <f t="shared" si="10"/>
        <v>4.3820266346738812</v>
      </c>
      <c r="AG108">
        <f t="shared" si="11"/>
        <v>2.1972245773362196</v>
      </c>
      <c r="AP108">
        <f t="shared" si="12"/>
        <v>4.3820266346738812</v>
      </c>
      <c r="AQ108">
        <f t="shared" si="13"/>
        <v>9</v>
      </c>
      <c r="AZ108">
        <f t="shared" si="14"/>
        <v>80</v>
      </c>
      <c r="BA108">
        <f t="shared" si="15"/>
        <v>2.1972245773362196</v>
      </c>
    </row>
    <row r="109" spans="2:54" ht="25.8" customHeight="1" x14ac:dyDescent="0.3">
      <c r="B109" s="199" t="s">
        <v>552</v>
      </c>
      <c r="C109" s="199"/>
      <c r="D109" s="199"/>
    </row>
    <row r="110" spans="2:54" x14ac:dyDescent="0.3">
      <c r="V110" t="s">
        <v>23</v>
      </c>
      <c r="AF110" t="s">
        <v>23</v>
      </c>
      <c r="AP110" t="s">
        <v>23</v>
      </c>
      <c r="AZ110" t="s">
        <v>23</v>
      </c>
    </row>
    <row r="111" spans="2:54" ht="49.8" customHeight="1" thickBot="1" x14ac:dyDescent="0.35">
      <c r="B111" s="200" t="s">
        <v>559</v>
      </c>
      <c r="C111" s="200"/>
      <c r="D111" s="200"/>
      <c r="L111" t="s">
        <v>23</v>
      </c>
    </row>
    <row r="112" spans="2:54" ht="15" thickBot="1" x14ac:dyDescent="0.35">
      <c r="V112" s="12" t="s">
        <v>24</v>
      </c>
      <c r="W112" s="12"/>
      <c r="AF112" s="12" t="s">
        <v>24</v>
      </c>
      <c r="AG112" s="12"/>
      <c r="AP112" s="12" t="s">
        <v>24</v>
      </c>
      <c r="AQ112" s="12"/>
      <c r="AZ112" s="12" t="s">
        <v>24</v>
      </c>
      <c r="BA112" s="12"/>
    </row>
    <row r="113" spans="2:60" ht="16.2" x14ac:dyDescent="0.3">
      <c r="B113" t="s">
        <v>236</v>
      </c>
      <c r="C113" s="2" t="s">
        <v>553</v>
      </c>
      <c r="D113" t="s">
        <v>554</v>
      </c>
      <c r="L113" s="12" t="s">
        <v>24</v>
      </c>
      <c r="M113" s="12"/>
      <c r="V113" s="9" t="s">
        <v>25</v>
      </c>
      <c r="W113" s="9">
        <v>0.94755211668731987</v>
      </c>
      <c r="AF113" s="9" t="s">
        <v>25</v>
      </c>
      <c r="AG113" s="9">
        <v>0.94938335048881961</v>
      </c>
      <c r="AP113" s="9" t="s">
        <v>25</v>
      </c>
      <c r="AQ113" s="9">
        <v>0.8559861077627291</v>
      </c>
      <c r="AZ113" s="9" t="s">
        <v>25</v>
      </c>
      <c r="BA113" s="9">
        <v>0.94888735031787408</v>
      </c>
    </row>
    <row r="114" spans="2:60" x14ac:dyDescent="0.3">
      <c r="B114" cm="1">
        <f t="array" ref="B114:B122">C3:C11</f>
        <v>72</v>
      </c>
      <c r="C114" t="s">
        <v>18</v>
      </c>
      <c r="D114" s="162" t="s">
        <v>18</v>
      </c>
      <c r="L114" s="9" t="s">
        <v>25</v>
      </c>
      <c r="M114" s="9">
        <v>0.9481351245650782</v>
      </c>
      <c r="V114" s="9" t="s">
        <v>26</v>
      </c>
      <c r="W114" s="9">
        <v>0.89785501383862032</v>
      </c>
      <c r="AF114" s="9" t="s">
        <v>26</v>
      </c>
      <c r="AG114" s="9">
        <v>0.90132874618537695</v>
      </c>
      <c r="AP114" s="9" t="s">
        <v>26</v>
      </c>
      <c r="AQ114" s="9">
        <v>0.73271221668278652</v>
      </c>
      <c r="AZ114" s="9" t="s">
        <v>26</v>
      </c>
      <c r="BA114" s="9">
        <v>0.90038720359327595</v>
      </c>
    </row>
    <row r="115" spans="2:60" x14ac:dyDescent="0.3">
      <c r="B115">
        <v>75</v>
      </c>
      <c r="C115">
        <f>B115-B114</f>
        <v>3</v>
      </c>
      <c r="D115" t="s">
        <v>18</v>
      </c>
      <c r="L115" s="9" t="s">
        <v>26</v>
      </c>
      <c r="M115" s="9">
        <v>0.89896021443403629</v>
      </c>
      <c r="V115" s="9" t="s">
        <v>27</v>
      </c>
      <c r="W115" s="9">
        <v>0.86380668511816039</v>
      </c>
      <c r="AF115" s="9" t="s">
        <v>27</v>
      </c>
      <c r="AG115" s="9">
        <v>0.8872328527832879</v>
      </c>
      <c r="AP115" s="9" t="s">
        <v>27</v>
      </c>
      <c r="AQ115" s="9">
        <v>0.69452824763747034</v>
      </c>
      <c r="AZ115" s="9" t="s">
        <v>27</v>
      </c>
      <c r="BA115" s="9">
        <v>0.88615680410660114</v>
      </c>
    </row>
    <row r="116" spans="2:60" x14ac:dyDescent="0.3">
      <c r="B116">
        <v>77</v>
      </c>
      <c r="C116">
        <f t="shared" ref="C116:D122" si="16">B116-B115</f>
        <v>2</v>
      </c>
      <c r="D116">
        <f>C116-C115</f>
        <v>-1</v>
      </c>
      <c r="L116" s="9" t="s">
        <v>27</v>
      </c>
      <c r="M116" s="9">
        <v>0.88452595935318434</v>
      </c>
      <c r="V116" s="9" t="s">
        <v>28</v>
      </c>
      <c r="W116" s="9">
        <v>0.96077469944208216</v>
      </c>
      <c r="AF116" s="9" t="s">
        <v>28</v>
      </c>
      <c r="AG116" s="9">
        <v>1.1484142908779905E-2</v>
      </c>
      <c r="AP116" s="9" t="s">
        <v>28</v>
      </c>
      <c r="AQ116" s="9">
        <v>1.8901349798378646E-2</v>
      </c>
      <c r="AZ116" s="9" t="s">
        <v>28</v>
      </c>
      <c r="BA116" s="9">
        <v>0.87840986064449511</v>
      </c>
    </row>
    <row r="117" spans="2:60" ht="15" thickBot="1" x14ac:dyDescent="0.35">
      <c r="B117">
        <v>77</v>
      </c>
      <c r="C117">
        <f t="shared" si="16"/>
        <v>0</v>
      </c>
      <c r="D117">
        <f t="shared" si="16"/>
        <v>-2</v>
      </c>
      <c r="L117" s="9" t="s">
        <v>28</v>
      </c>
      <c r="M117" s="9">
        <v>0.88467925634446498</v>
      </c>
      <c r="V117" s="10" t="s">
        <v>29</v>
      </c>
      <c r="W117" s="10">
        <v>9</v>
      </c>
      <c r="AF117" s="10" t="s">
        <v>29</v>
      </c>
      <c r="AG117" s="10">
        <v>9</v>
      </c>
      <c r="AP117" s="10" t="s">
        <v>29</v>
      </c>
      <c r="AQ117" s="10">
        <v>9</v>
      </c>
      <c r="AZ117" s="10" t="s">
        <v>29</v>
      </c>
      <c r="BA117" s="10">
        <v>9</v>
      </c>
    </row>
    <row r="118" spans="2:60" ht="15" thickBot="1" x14ac:dyDescent="0.35">
      <c r="B118">
        <v>79</v>
      </c>
      <c r="C118">
        <f t="shared" si="16"/>
        <v>2</v>
      </c>
      <c r="D118">
        <f t="shared" si="16"/>
        <v>2</v>
      </c>
      <c r="L118" s="10" t="s">
        <v>29</v>
      </c>
      <c r="M118" s="10">
        <v>9</v>
      </c>
    </row>
    <row r="119" spans="2:60" ht="15" thickBot="1" x14ac:dyDescent="0.35">
      <c r="B119">
        <v>80</v>
      </c>
      <c r="C119">
        <f t="shared" si="16"/>
        <v>1</v>
      </c>
      <c r="D119">
        <f t="shared" si="16"/>
        <v>-1</v>
      </c>
      <c r="V119" t="s">
        <v>30</v>
      </c>
      <c r="AF119" t="s">
        <v>30</v>
      </c>
      <c r="AP119" t="s">
        <v>30</v>
      </c>
      <c r="AZ119" t="s">
        <v>30</v>
      </c>
    </row>
    <row r="120" spans="2:60" ht="15" thickBot="1" x14ac:dyDescent="0.35">
      <c r="B120">
        <v>78</v>
      </c>
      <c r="C120">
        <f t="shared" si="16"/>
        <v>-2</v>
      </c>
      <c r="D120">
        <f t="shared" si="16"/>
        <v>-3</v>
      </c>
      <c r="L120" t="s">
        <v>30</v>
      </c>
      <c r="V120" s="11"/>
      <c r="W120" s="11" t="s">
        <v>35</v>
      </c>
      <c r="X120" s="11" t="s">
        <v>36</v>
      </c>
      <c r="Y120" s="11" t="s">
        <v>37</v>
      </c>
      <c r="Z120" s="11" t="s">
        <v>38</v>
      </c>
      <c r="AA120" s="11" t="s">
        <v>39</v>
      </c>
      <c r="AF120" s="11"/>
      <c r="AG120" s="11" t="s">
        <v>35</v>
      </c>
      <c r="AH120" s="11" t="s">
        <v>36</v>
      </c>
      <c r="AI120" s="11" t="s">
        <v>37</v>
      </c>
      <c r="AJ120" s="11" t="s">
        <v>38</v>
      </c>
      <c r="AK120" s="11" t="s">
        <v>39</v>
      </c>
      <c r="AP120" s="11"/>
      <c r="AQ120" s="11" t="s">
        <v>35</v>
      </c>
      <c r="AR120" s="11" t="s">
        <v>36</v>
      </c>
      <c r="AS120" s="11" t="s">
        <v>37</v>
      </c>
      <c r="AT120" s="11" t="s">
        <v>38</v>
      </c>
      <c r="AU120" s="11" t="s">
        <v>39</v>
      </c>
      <c r="AZ120" s="11"/>
      <c r="BA120" s="11" t="s">
        <v>35</v>
      </c>
      <c r="BB120" s="11" t="s">
        <v>36</v>
      </c>
      <c r="BC120" s="11" t="s">
        <v>37</v>
      </c>
      <c r="BD120" s="11" t="s">
        <v>38</v>
      </c>
      <c r="BE120" s="11" t="s">
        <v>39</v>
      </c>
    </row>
    <row r="121" spans="2:60" x14ac:dyDescent="0.3">
      <c r="B121">
        <v>79</v>
      </c>
      <c r="C121">
        <f t="shared" si="16"/>
        <v>1</v>
      </c>
      <c r="D121">
        <f t="shared" si="16"/>
        <v>3</v>
      </c>
      <c r="L121" s="11"/>
      <c r="M121" s="11" t="s">
        <v>35</v>
      </c>
      <c r="N121" s="11" t="s">
        <v>36</v>
      </c>
      <c r="O121" s="11" t="s">
        <v>37</v>
      </c>
      <c r="P121" s="11" t="s">
        <v>38</v>
      </c>
      <c r="Q121" s="11" t="s">
        <v>39</v>
      </c>
      <c r="V121" s="9" t="s">
        <v>31</v>
      </c>
      <c r="W121" s="9">
        <v>2</v>
      </c>
      <c r="X121" s="9">
        <v>48.683694083694093</v>
      </c>
      <c r="Y121" s="9">
        <v>24.341847041847046</v>
      </c>
      <c r="Z121" s="9">
        <v>26.370017195560418</v>
      </c>
      <c r="AA121" s="9">
        <v>1.0657397435387512E-3</v>
      </c>
      <c r="AF121" s="9" t="s">
        <v>31</v>
      </c>
      <c r="AG121" s="9">
        <v>1</v>
      </c>
      <c r="AH121" s="9">
        <v>8.433110518750302E-3</v>
      </c>
      <c r="AI121" s="9">
        <v>8.433110518750302E-3</v>
      </c>
      <c r="AJ121" s="9">
        <v>63.942647725457419</v>
      </c>
      <c r="AK121" s="9">
        <v>9.1410469888609624E-5</v>
      </c>
      <c r="AP121" s="9" t="s">
        <v>31</v>
      </c>
      <c r="AQ121" s="9">
        <v>1</v>
      </c>
      <c r="AR121" s="9">
        <v>6.8554821177905815E-3</v>
      </c>
      <c r="AS121" s="9">
        <v>6.8554821177905815E-3</v>
      </c>
      <c r="AT121" s="9">
        <v>19.189000908030632</v>
      </c>
      <c r="AU121" s="9">
        <v>3.2324019950488217E-3</v>
      </c>
      <c r="AZ121" s="9" t="s">
        <v>31</v>
      </c>
      <c r="BA121" s="9">
        <v>1</v>
      </c>
      <c r="BB121" s="9">
        <v>48.820995039279865</v>
      </c>
      <c r="BC121" s="9">
        <v>48.820995039279865</v>
      </c>
      <c r="BD121" s="9">
        <v>63.272096081096358</v>
      </c>
      <c r="BE121" s="9">
        <v>9.4537722479308875E-5</v>
      </c>
    </row>
    <row r="122" spans="2:60" x14ac:dyDescent="0.3">
      <c r="B122">
        <v>80</v>
      </c>
      <c r="C122">
        <f t="shared" si="16"/>
        <v>1</v>
      </c>
      <c r="D122">
        <f t="shared" si="16"/>
        <v>0</v>
      </c>
      <c r="L122" s="9" t="s">
        <v>31</v>
      </c>
      <c r="M122" s="9">
        <v>1</v>
      </c>
      <c r="N122" s="9">
        <v>48.743620515978868</v>
      </c>
      <c r="O122" s="9">
        <v>48.743620515978868</v>
      </c>
      <c r="P122" s="9">
        <v>62.279640300008907</v>
      </c>
      <c r="Q122" s="9">
        <v>9.9423457843881311E-5</v>
      </c>
      <c r="V122" s="9" t="s">
        <v>32</v>
      </c>
      <c r="W122" s="9">
        <v>6</v>
      </c>
      <c r="X122" s="9">
        <v>5.5385281385281395</v>
      </c>
      <c r="Y122" s="9">
        <v>0.92308802308802329</v>
      </c>
      <c r="Z122" s="9"/>
      <c r="AA122" s="9"/>
      <c r="AF122" s="9" t="s">
        <v>32</v>
      </c>
      <c r="AG122" s="9">
        <v>7</v>
      </c>
      <c r="AH122" s="9">
        <v>9.2319876844495835E-4</v>
      </c>
      <c r="AI122" s="9">
        <v>1.3188553834927978E-4</v>
      </c>
      <c r="AJ122" s="9"/>
      <c r="AK122" s="9"/>
      <c r="AP122" s="9" t="s">
        <v>32</v>
      </c>
      <c r="AQ122" s="9">
        <v>7</v>
      </c>
      <c r="AR122" s="9">
        <v>2.5008271694046793E-3</v>
      </c>
      <c r="AS122" s="9">
        <v>3.5726102420066848E-4</v>
      </c>
      <c r="AT122" s="9"/>
      <c r="AU122" s="9"/>
      <c r="AZ122" s="9" t="s">
        <v>32</v>
      </c>
      <c r="BA122" s="9">
        <v>7</v>
      </c>
      <c r="BB122" s="9">
        <v>5.4012271829423701</v>
      </c>
      <c r="BC122" s="9">
        <v>0.77160388327748142</v>
      </c>
      <c r="BD122" s="9"/>
      <c r="BE122" s="9"/>
    </row>
    <row r="123" spans="2:60" ht="15" thickBot="1" x14ac:dyDescent="0.35">
      <c r="L123" s="9" t="s">
        <v>32</v>
      </c>
      <c r="M123" s="9">
        <v>7</v>
      </c>
      <c r="N123" s="9">
        <v>5.478601706243369</v>
      </c>
      <c r="O123" s="9">
        <v>0.78265738660619555</v>
      </c>
      <c r="P123" s="9"/>
      <c r="Q123" s="9"/>
      <c r="V123" s="10" t="s">
        <v>33</v>
      </c>
      <c r="W123" s="10">
        <v>8</v>
      </c>
      <c r="X123" s="10">
        <v>54.222222222222229</v>
      </c>
      <c r="Y123" s="10"/>
      <c r="Z123" s="10"/>
      <c r="AA123" s="10"/>
      <c r="AF123" s="10" t="s">
        <v>33</v>
      </c>
      <c r="AG123" s="10">
        <v>8</v>
      </c>
      <c r="AH123" s="10">
        <v>9.3563092871952608E-3</v>
      </c>
      <c r="AI123" s="10"/>
      <c r="AJ123" s="10"/>
      <c r="AK123" s="10"/>
      <c r="AP123" s="10" t="s">
        <v>33</v>
      </c>
      <c r="AQ123" s="10">
        <v>8</v>
      </c>
      <c r="AR123" s="10">
        <v>9.3563092871952608E-3</v>
      </c>
      <c r="AS123" s="10"/>
      <c r="AT123" s="10"/>
      <c r="AU123" s="10"/>
      <c r="AZ123" s="10" t="s">
        <v>33</v>
      </c>
      <c r="BA123" s="10">
        <v>8</v>
      </c>
      <c r="BB123" s="10">
        <v>54.222222222222236</v>
      </c>
      <c r="BC123" s="10"/>
      <c r="BD123" s="10"/>
      <c r="BE123" s="10"/>
    </row>
    <row r="124" spans="2:60" ht="15" thickBot="1" x14ac:dyDescent="0.35">
      <c r="L124" s="10" t="s">
        <v>33</v>
      </c>
      <c r="M124" s="10">
        <v>8</v>
      </c>
      <c r="N124" s="10">
        <v>54.222222222222236</v>
      </c>
      <c r="O124" s="10"/>
      <c r="P124" s="10"/>
      <c r="Q124" s="10"/>
    </row>
    <row r="125" spans="2:60" ht="16.8" thickBot="1" x14ac:dyDescent="0.35">
      <c r="B125" t="s">
        <v>355</v>
      </c>
      <c r="C125" s="2" t="s">
        <v>555</v>
      </c>
      <c r="D125" t="s">
        <v>556</v>
      </c>
      <c r="V125" s="11"/>
      <c r="W125" s="11" t="s">
        <v>40</v>
      </c>
      <c r="X125" s="11" t="s">
        <v>28</v>
      </c>
      <c r="Y125" s="11" t="s">
        <v>41</v>
      </c>
      <c r="Z125" s="11" t="s">
        <v>42</v>
      </c>
      <c r="AA125" s="11" t="s">
        <v>43</v>
      </c>
      <c r="AB125" s="11" t="s">
        <v>44</v>
      </c>
      <c r="AC125" s="11" t="s">
        <v>45</v>
      </c>
      <c r="AD125" s="11" t="s">
        <v>46</v>
      </c>
      <c r="AF125" s="11"/>
      <c r="AG125" s="11" t="s">
        <v>40</v>
      </c>
      <c r="AH125" s="11" t="s">
        <v>28</v>
      </c>
      <c r="AI125" s="11" t="s">
        <v>41</v>
      </c>
      <c r="AJ125" s="11" t="s">
        <v>42</v>
      </c>
      <c r="AK125" s="11" t="s">
        <v>43</v>
      </c>
      <c r="AL125" s="11" t="s">
        <v>44</v>
      </c>
      <c r="AM125" s="11" t="s">
        <v>45</v>
      </c>
      <c r="AN125" s="11" t="s">
        <v>46</v>
      </c>
      <c r="AP125" s="11"/>
      <c r="AQ125" s="11" t="s">
        <v>40</v>
      </c>
      <c r="AR125" s="11" t="s">
        <v>28</v>
      </c>
      <c r="AS125" s="11" t="s">
        <v>41</v>
      </c>
      <c r="AT125" s="11" t="s">
        <v>42</v>
      </c>
      <c r="AU125" s="11" t="s">
        <v>43</v>
      </c>
      <c r="AV125" s="11" t="s">
        <v>44</v>
      </c>
      <c r="AW125" s="11" t="s">
        <v>45</v>
      </c>
      <c r="AX125" s="11" t="s">
        <v>46</v>
      </c>
      <c r="AZ125" s="11"/>
      <c r="BA125" s="11" t="s">
        <v>40</v>
      </c>
      <c r="BB125" s="11" t="s">
        <v>28</v>
      </c>
      <c r="BC125" s="11" t="s">
        <v>41</v>
      </c>
      <c r="BD125" s="11" t="s">
        <v>42</v>
      </c>
      <c r="BE125" s="11" t="s">
        <v>43</v>
      </c>
      <c r="BF125" s="11" t="s">
        <v>44</v>
      </c>
      <c r="BG125" s="11" t="s">
        <v>45</v>
      </c>
      <c r="BH125" s="11" t="s">
        <v>46</v>
      </c>
    </row>
    <row r="126" spans="2:60" x14ac:dyDescent="0.3">
      <c r="B126" s="157" cm="1">
        <f t="array" ref="B126:B134">D3:D11</f>
        <v>4.2</v>
      </c>
      <c r="C126" t="s">
        <v>18</v>
      </c>
      <c r="D126" t="s">
        <v>18</v>
      </c>
      <c r="L126" s="11"/>
      <c r="M126" s="11" t="s">
        <v>40</v>
      </c>
      <c r="N126" s="11" t="s">
        <v>28</v>
      </c>
      <c r="O126" s="11" t="s">
        <v>41</v>
      </c>
      <c r="P126" s="11" t="s">
        <v>42</v>
      </c>
      <c r="Q126" s="11" t="s">
        <v>43</v>
      </c>
      <c r="R126" s="11" t="s">
        <v>44</v>
      </c>
      <c r="S126" s="11" t="s">
        <v>45</v>
      </c>
      <c r="T126" s="11" t="s">
        <v>46</v>
      </c>
      <c r="V126" s="9" t="s">
        <v>34</v>
      </c>
      <c r="W126" s="9">
        <v>70.285714285714278</v>
      </c>
      <c r="X126" s="9">
        <v>1.2225070412688994</v>
      </c>
      <c r="Y126" s="9">
        <v>57.493095673920472</v>
      </c>
      <c r="Z126" s="9">
        <v>1.8601248418280597E-9</v>
      </c>
      <c r="AA126" s="9">
        <v>67.294347318325237</v>
      </c>
      <c r="AB126" s="9">
        <v>73.277081253103319</v>
      </c>
      <c r="AC126" s="9">
        <v>67.294347318325237</v>
      </c>
      <c r="AD126" s="9">
        <v>73.277081253103319</v>
      </c>
      <c r="AF126" s="9" t="s">
        <v>34</v>
      </c>
      <c r="AG126" s="9">
        <v>4.2848386761212316</v>
      </c>
      <c r="AH126" s="9">
        <v>8.8954496909150315E-3</v>
      </c>
      <c r="AI126" s="9">
        <v>481.68882125176418</v>
      </c>
      <c r="AJ126" s="9">
        <v>4.3890291573983972E-17</v>
      </c>
      <c r="AK126" s="9">
        <v>4.2638042800532707</v>
      </c>
      <c r="AL126" s="9">
        <v>4.3058730721891925</v>
      </c>
      <c r="AM126" s="9">
        <v>4.2638042800532707</v>
      </c>
      <c r="AN126" s="9">
        <v>4.3058730721891925</v>
      </c>
      <c r="AP126" s="9" t="s">
        <v>34</v>
      </c>
      <c r="AQ126" s="9">
        <v>4.2956012111993944</v>
      </c>
      <c r="AR126" s="9">
        <v>1.3731512277940899E-2</v>
      </c>
      <c r="AS126" s="9">
        <v>312.82797730153135</v>
      </c>
      <c r="AT126" s="9">
        <v>9.0061557212821541E-16</v>
      </c>
      <c r="AU126" s="9">
        <v>4.2631313442559309</v>
      </c>
      <c r="AV126" s="9">
        <v>4.328071078142858</v>
      </c>
      <c r="AW126" s="9">
        <v>4.2631313442559309</v>
      </c>
      <c r="AX126" s="9">
        <v>4.328071078142858</v>
      </c>
      <c r="AZ126" s="9" t="s">
        <v>34</v>
      </c>
      <c r="BA126" s="9">
        <v>72.559038481349148</v>
      </c>
      <c r="BB126" s="9">
        <v>0.68040347333129347</v>
      </c>
      <c r="BC126" s="9">
        <v>106.6411935349125</v>
      </c>
      <c r="BD126" s="9">
        <v>1.680617217493681E-12</v>
      </c>
      <c r="BE126" s="9">
        <v>70.950139927442009</v>
      </c>
      <c r="BF126" s="9">
        <v>74.167937035256287</v>
      </c>
      <c r="BG126" s="9">
        <v>70.950139927442009</v>
      </c>
      <c r="BH126" s="9">
        <v>74.167937035256287</v>
      </c>
    </row>
    <row r="127" spans="2:60" ht="15" thickBot="1" x14ac:dyDescent="0.35">
      <c r="B127">
        <v>3</v>
      </c>
      <c r="C127" s="157">
        <f>B127-B126</f>
        <v>-1.2000000000000002</v>
      </c>
      <c r="D127" t="s">
        <v>18</v>
      </c>
      <c r="L127" s="9" t="s">
        <v>34</v>
      </c>
      <c r="M127" s="9">
        <v>80.16531506676003</v>
      </c>
      <c r="N127" s="9">
        <v>0.45368626491730984</v>
      </c>
      <c r="O127" s="9">
        <v>176.69769015681175</v>
      </c>
      <c r="P127" s="9">
        <v>4.9074536068260724E-14</v>
      </c>
      <c r="Q127" s="9">
        <v>79.092517522122009</v>
      </c>
      <c r="R127" s="9">
        <v>81.238112611398051</v>
      </c>
      <c r="S127" s="9">
        <v>79.092517522122009</v>
      </c>
      <c r="T127" s="9">
        <v>81.238112611398051</v>
      </c>
      <c r="V127" s="9" t="s">
        <v>538</v>
      </c>
      <c r="W127" s="9">
        <v>2.4941558441558427</v>
      </c>
      <c r="X127" s="9">
        <v>0.56132762624407484</v>
      </c>
      <c r="Y127" s="9">
        <v>4.443315681511355</v>
      </c>
      <c r="Z127" s="9">
        <v>4.3602959133505316E-3</v>
      </c>
      <c r="AA127" s="9">
        <v>1.1206366231241418</v>
      </c>
      <c r="AB127" s="9">
        <v>3.8676750651875436</v>
      </c>
      <c r="AC127" s="9">
        <v>1.1206366231241418</v>
      </c>
      <c r="AD127" s="9">
        <v>3.8676750651875436</v>
      </c>
      <c r="AF127" s="10" t="s">
        <v>545</v>
      </c>
      <c r="AG127" s="10">
        <v>4.5140023409874781E-2</v>
      </c>
      <c r="AH127" s="10">
        <v>5.6450328327736794E-3</v>
      </c>
      <c r="AI127" s="10">
        <v>7.9964146794333688</v>
      </c>
      <c r="AJ127" s="10">
        <v>9.1410469888609299E-5</v>
      </c>
      <c r="AK127" s="10">
        <v>3.179164187246062E-2</v>
      </c>
      <c r="AL127" s="10">
        <v>5.8488404947288943E-2</v>
      </c>
      <c r="AM127" s="10">
        <v>3.179164187246062E-2</v>
      </c>
      <c r="AN127" s="10">
        <v>5.8488404947288943E-2</v>
      </c>
      <c r="AP127" s="10" t="s">
        <v>507</v>
      </c>
      <c r="AQ127" s="10">
        <v>1.0689155031924165E-2</v>
      </c>
      <c r="AR127" s="10">
        <v>2.4401537663320469E-3</v>
      </c>
      <c r="AS127" s="10">
        <v>4.3805251863253378</v>
      </c>
      <c r="AT127" s="10">
        <v>3.2324019950488183E-3</v>
      </c>
      <c r="AU127" s="10">
        <v>4.9191082584399337E-3</v>
      </c>
      <c r="AV127" s="10">
        <v>1.6459201805408396E-2</v>
      </c>
      <c r="AW127" s="10">
        <v>4.9191082584399337E-3</v>
      </c>
      <c r="AX127" s="10">
        <v>1.6459201805408396E-2</v>
      </c>
      <c r="AZ127" s="10" t="s">
        <v>545</v>
      </c>
      <c r="BA127" s="10">
        <v>3.434560709107279</v>
      </c>
      <c r="BB127" s="10">
        <v>0.43178254949956413</v>
      </c>
      <c r="BC127" s="10">
        <v>7.9543759077061686</v>
      </c>
      <c r="BD127" s="10">
        <v>9.4537722479309038E-5</v>
      </c>
      <c r="BE127" s="10">
        <v>2.4135572211460472</v>
      </c>
      <c r="BF127" s="10">
        <v>4.4555641970685107</v>
      </c>
      <c r="BG127" s="10">
        <v>2.4135572211460472</v>
      </c>
      <c r="BH127" s="10">
        <v>4.4555641970685107</v>
      </c>
    </row>
    <row r="128" spans="2:60" ht="15" thickBot="1" x14ac:dyDescent="0.35">
      <c r="B128">
        <v>2.4</v>
      </c>
      <c r="C128" s="157">
        <f t="shared" ref="C128:D134" si="17">B128-B127</f>
        <v>-0.60000000000000009</v>
      </c>
      <c r="D128" s="157">
        <f>C128-C127</f>
        <v>0.60000000000000009</v>
      </c>
      <c r="L128" s="10" t="s">
        <v>533</v>
      </c>
      <c r="M128" s="10">
        <v>-8.6561012363750294</v>
      </c>
      <c r="N128" s="10">
        <v>1.0968551513145415</v>
      </c>
      <c r="O128" s="10">
        <v>-7.891745073176712</v>
      </c>
      <c r="P128" s="10">
        <v>9.9423457843881311E-5</v>
      </c>
      <c r="Q128" s="10">
        <v>-11.249751527657867</v>
      </c>
      <c r="R128" s="10">
        <v>-6.0624509450921913</v>
      </c>
      <c r="S128" s="10">
        <v>-11.249751527657867</v>
      </c>
      <c r="T128" s="10">
        <v>-6.0624509450921913</v>
      </c>
      <c r="V128" s="10" t="s">
        <v>541</v>
      </c>
      <c r="W128" s="10">
        <v>-0.16774891774891765</v>
      </c>
      <c r="X128" s="10">
        <v>5.4745219298127527E-2</v>
      </c>
      <c r="Y128" s="10">
        <v>-3.0641747334210647</v>
      </c>
      <c r="Z128" s="10">
        <v>2.2106400677517801E-2</v>
      </c>
      <c r="AA128" s="10">
        <v>-0.3017056436430362</v>
      </c>
      <c r="AB128" s="10">
        <v>-3.3792191854799092E-2</v>
      </c>
      <c r="AC128" s="10">
        <v>-0.3017056436430362</v>
      </c>
      <c r="AD128" s="10">
        <v>-3.3792191854799092E-2</v>
      </c>
    </row>
    <row r="129" spans="2:54" x14ac:dyDescent="0.3">
      <c r="B129">
        <v>2</v>
      </c>
      <c r="C129" s="157">
        <f t="shared" si="17"/>
        <v>-0.39999999999999991</v>
      </c>
      <c r="D129" s="157">
        <f t="shared" si="17"/>
        <v>0.20000000000000018</v>
      </c>
    </row>
    <row r="130" spans="2:54" x14ac:dyDescent="0.3">
      <c r="B130">
        <v>1.9</v>
      </c>
      <c r="C130" s="157">
        <f t="shared" si="17"/>
        <v>-0.10000000000000009</v>
      </c>
      <c r="D130" s="157">
        <f t="shared" si="17"/>
        <v>0.29999999999999982</v>
      </c>
    </row>
    <row r="131" spans="2:54" x14ac:dyDescent="0.3">
      <c r="B131">
        <v>1.7</v>
      </c>
      <c r="C131" s="157">
        <f t="shared" si="17"/>
        <v>-0.19999999999999996</v>
      </c>
      <c r="D131" s="157">
        <f t="shared" si="17"/>
        <v>-9.9999999999999867E-2</v>
      </c>
    </row>
    <row r="132" spans="2:54" ht="21.6" customHeight="1" x14ac:dyDescent="0.3">
      <c r="B132">
        <v>1.8</v>
      </c>
      <c r="C132" s="157">
        <f t="shared" si="17"/>
        <v>0.10000000000000009</v>
      </c>
      <c r="D132" s="157">
        <f t="shared" si="17"/>
        <v>0.30000000000000004</v>
      </c>
      <c r="L132" s="198" t="s">
        <v>536</v>
      </c>
      <c r="M132" s="198"/>
      <c r="N132" s="198"/>
      <c r="V132" s="198" t="s">
        <v>542</v>
      </c>
      <c r="W132" s="198"/>
      <c r="X132" s="198"/>
      <c r="AF132" s="198" t="s">
        <v>546</v>
      </c>
      <c r="AG132" s="198"/>
      <c r="AH132" s="198"/>
      <c r="AP132" s="198" t="s">
        <v>548</v>
      </c>
      <c r="AQ132" s="198"/>
      <c r="AR132" s="198"/>
      <c r="AZ132" s="198" t="s">
        <v>550</v>
      </c>
      <c r="BA132" s="198"/>
      <c r="BB132" s="198"/>
    </row>
    <row r="133" spans="2:54" ht="16.8" x14ac:dyDescent="0.35">
      <c r="B133">
        <v>1.6</v>
      </c>
      <c r="C133" s="157">
        <f t="shared" si="17"/>
        <v>-0.19999999999999996</v>
      </c>
      <c r="D133" s="157">
        <f t="shared" si="17"/>
        <v>-0.30000000000000004</v>
      </c>
      <c r="L133" t="s">
        <v>355</v>
      </c>
      <c r="M133" t="s">
        <v>533</v>
      </c>
      <c r="V133" t="s">
        <v>355</v>
      </c>
      <c r="W133" t="s">
        <v>540</v>
      </c>
      <c r="X133" t="s">
        <v>539</v>
      </c>
      <c r="AF133" t="s">
        <v>361</v>
      </c>
      <c r="AG133" t="s">
        <v>545</v>
      </c>
      <c r="AP133" t="s">
        <v>361</v>
      </c>
      <c r="AQ133" t="s">
        <v>507</v>
      </c>
      <c r="AZ133" t="s">
        <v>355</v>
      </c>
      <c r="BA133" t="s">
        <v>545</v>
      </c>
    </row>
    <row r="134" spans="2:54" x14ac:dyDescent="0.3">
      <c r="B134">
        <v>1.7</v>
      </c>
      <c r="C134" s="157">
        <f t="shared" si="17"/>
        <v>9.9999999999999867E-2</v>
      </c>
      <c r="D134" s="157">
        <f t="shared" si="17"/>
        <v>0.29999999999999982</v>
      </c>
      <c r="L134" s="157">
        <f>D3</f>
        <v>4.2</v>
      </c>
      <c r="M134">
        <f>1/B3</f>
        <v>1</v>
      </c>
      <c r="V134" s="157" cm="1">
        <f t="array" ref="V134:V142">D3:D11</f>
        <v>4.2</v>
      </c>
      <c r="W134" cm="1">
        <f t="array" ref="W134:W142">B3:B11</f>
        <v>1</v>
      </c>
      <c r="X134">
        <f>W134^2</f>
        <v>1</v>
      </c>
      <c r="AF134">
        <f>LN(D3)</f>
        <v>1.4350845252893227</v>
      </c>
      <c r="AG134">
        <f>LN(B3)</f>
        <v>0</v>
      </c>
      <c r="AP134">
        <f>LN(D3)</f>
        <v>1.4350845252893227</v>
      </c>
      <c r="AQ134">
        <f>B3</f>
        <v>1</v>
      </c>
      <c r="AZ134" s="157">
        <f>D3</f>
        <v>4.2</v>
      </c>
      <c r="BA134">
        <f>LN(B3)</f>
        <v>0</v>
      </c>
    </row>
    <row r="135" spans="2:54" x14ac:dyDescent="0.3">
      <c r="L135" s="157">
        <f t="shared" ref="L135:L142" si="18">D4</f>
        <v>3</v>
      </c>
      <c r="M135">
        <f t="shared" ref="M135:M142" si="19">1/B4</f>
        <v>0.5</v>
      </c>
      <c r="V135">
        <v>3</v>
      </c>
      <c r="W135">
        <v>2</v>
      </c>
      <c r="X135">
        <f t="shared" ref="X135:X142" si="20">W135^2</f>
        <v>4</v>
      </c>
      <c r="AF135">
        <f t="shared" ref="AF135:AF142" si="21">LN(D4)</f>
        <v>1.0986122886681098</v>
      </c>
      <c r="AG135">
        <f t="shared" ref="AG135:AG142" si="22">LN(B4)</f>
        <v>0.69314718055994529</v>
      </c>
      <c r="AP135">
        <f t="shared" ref="AP135:AP142" si="23">LN(D4)</f>
        <v>1.0986122886681098</v>
      </c>
      <c r="AQ135">
        <f t="shared" ref="AQ135:AQ141" si="24">B4</f>
        <v>2</v>
      </c>
      <c r="AZ135" s="157">
        <f t="shared" ref="AZ135:AZ142" si="25">D4</f>
        <v>3</v>
      </c>
      <c r="BA135">
        <f t="shared" ref="BA135:BA142" si="26">LN(B4)</f>
        <v>0.69314718055994529</v>
      </c>
    </row>
    <row r="136" spans="2:54" x14ac:dyDescent="0.3">
      <c r="B136" t="s">
        <v>557</v>
      </c>
      <c r="C136" t="s">
        <v>15</v>
      </c>
      <c r="L136" s="157">
        <f t="shared" si="18"/>
        <v>2.4</v>
      </c>
      <c r="M136">
        <f t="shared" si="19"/>
        <v>0.33333333333333331</v>
      </c>
      <c r="V136">
        <v>2.4</v>
      </c>
      <c r="W136">
        <v>3</v>
      </c>
      <c r="X136">
        <f t="shared" si="20"/>
        <v>9</v>
      </c>
      <c r="AF136">
        <f t="shared" si="21"/>
        <v>0.87546873735389985</v>
      </c>
      <c r="AG136">
        <f t="shared" si="22"/>
        <v>1.0986122886681098</v>
      </c>
      <c r="AP136">
        <f t="shared" si="23"/>
        <v>0.87546873735389985</v>
      </c>
      <c r="AQ136">
        <f t="shared" si="24"/>
        <v>3</v>
      </c>
      <c r="AZ136" s="157">
        <f t="shared" si="25"/>
        <v>2.4</v>
      </c>
      <c r="BA136">
        <f t="shared" si="26"/>
        <v>1.0986122886681098</v>
      </c>
    </row>
    <row r="137" spans="2:54" x14ac:dyDescent="0.3">
      <c r="B137">
        <f>CORREL(D116:D122,D128:D134)</f>
        <v>-0.45397704529817129</v>
      </c>
      <c r="C137" t="s">
        <v>558</v>
      </c>
      <c r="L137" s="157">
        <f t="shared" si="18"/>
        <v>2</v>
      </c>
      <c r="M137">
        <f t="shared" si="19"/>
        <v>0.25</v>
      </c>
      <c r="V137">
        <v>2</v>
      </c>
      <c r="W137">
        <v>4</v>
      </c>
      <c r="X137">
        <f t="shared" si="20"/>
        <v>16</v>
      </c>
      <c r="AF137">
        <f t="shared" si="21"/>
        <v>0.69314718055994529</v>
      </c>
      <c r="AG137">
        <f t="shared" si="22"/>
        <v>1.3862943611198906</v>
      </c>
      <c r="AP137">
        <f t="shared" si="23"/>
        <v>0.69314718055994529</v>
      </c>
      <c r="AQ137">
        <f t="shared" si="24"/>
        <v>4</v>
      </c>
      <c r="AZ137" s="157">
        <f t="shared" si="25"/>
        <v>2</v>
      </c>
      <c r="BA137">
        <f t="shared" si="26"/>
        <v>1.3862943611198906</v>
      </c>
    </row>
    <row r="138" spans="2:54" x14ac:dyDescent="0.3">
      <c r="L138" s="157">
        <f t="shared" si="18"/>
        <v>1.9</v>
      </c>
      <c r="M138">
        <f t="shared" si="19"/>
        <v>0.2</v>
      </c>
      <c r="V138">
        <v>1.9</v>
      </c>
      <c r="W138">
        <v>5</v>
      </c>
      <c r="X138">
        <f t="shared" si="20"/>
        <v>25</v>
      </c>
      <c r="AF138">
        <f t="shared" si="21"/>
        <v>0.64185388617239469</v>
      </c>
      <c r="AG138">
        <f t="shared" si="22"/>
        <v>1.6094379124341003</v>
      </c>
      <c r="AP138">
        <f t="shared" si="23"/>
        <v>0.64185388617239469</v>
      </c>
      <c r="AQ138">
        <f t="shared" si="24"/>
        <v>5</v>
      </c>
      <c r="AZ138" s="157">
        <f t="shared" si="25"/>
        <v>1.9</v>
      </c>
      <c r="BA138">
        <f t="shared" si="26"/>
        <v>1.6094379124341003</v>
      </c>
    </row>
    <row r="139" spans="2:54" x14ac:dyDescent="0.3">
      <c r="L139" s="157">
        <f t="shared" si="18"/>
        <v>1.7</v>
      </c>
      <c r="M139">
        <f t="shared" si="19"/>
        <v>0.16666666666666666</v>
      </c>
      <c r="V139">
        <v>1.7</v>
      </c>
      <c r="W139">
        <v>6</v>
      </c>
      <c r="X139">
        <f t="shared" si="20"/>
        <v>36</v>
      </c>
      <c r="AF139">
        <f t="shared" si="21"/>
        <v>0.53062825106217038</v>
      </c>
      <c r="AG139">
        <f t="shared" si="22"/>
        <v>1.791759469228055</v>
      </c>
      <c r="AP139">
        <f t="shared" si="23"/>
        <v>0.53062825106217038</v>
      </c>
      <c r="AQ139">
        <f t="shared" si="24"/>
        <v>6</v>
      </c>
      <c r="AZ139" s="157">
        <f t="shared" si="25"/>
        <v>1.7</v>
      </c>
      <c r="BA139">
        <f t="shared" si="26"/>
        <v>1.791759469228055</v>
      </c>
    </row>
    <row r="140" spans="2:54" x14ac:dyDescent="0.3">
      <c r="L140" s="157">
        <f t="shared" si="18"/>
        <v>1.8</v>
      </c>
      <c r="M140">
        <f t="shared" si="19"/>
        <v>0.14285714285714285</v>
      </c>
      <c r="V140">
        <v>1.8</v>
      </c>
      <c r="W140">
        <v>7</v>
      </c>
      <c r="X140">
        <f t="shared" si="20"/>
        <v>49</v>
      </c>
      <c r="AF140">
        <f t="shared" si="21"/>
        <v>0.58778666490211906</v>
      </c>
      <c r="AG140">
        <f t="shared" si="22"/>
        <v>1.9459101490553132</v>
      </c>
      <c r="AP140">
        <f t="shared" si="23"/>
        <v>0.58778666490211906</v>
      </c>
      <c r="AQ140">
        <f t="shared" si="24"/>
        <v>7</v>
      </c>
      <c r="AZ140" s="157">
        <f t="shared" si="25"/>
        <v>1.8</v>
      </c>
      <c r="BA140">
        <f t="shared" si="26"/>
        <v>1.9459101490553132</v>
      </c>
    </row>
    <row r="141" spans="2:54" ht="48.6" customHeight="1" x14ac:dyDescent="0.3">
      <c r="B141" s="200" t="s">
        <v>560</v>
      </c>
      <c r="C141" s="200"/>
      <c r="D141" s="200"/>
      <c r="L141" s="157">
        <f t="shared" si="18"/>
        <v>1.6</v>
      </c>
      <c r="M141">
        <f t="shared" si="19"/>
        <v>0.125</v>
      </c>
      <c r="V141">
        <v>1.6</v>
      </c>
      <c r="W141">
        <v>8</v>
      </c>
      <c r="X141">
        <f t="shared" si="20"/>
        <v>64</v>
      </c>
      <c r="AF141">
        <f t="shared" si="21"/>
        <v>0.47000362924573563</v>
      </c>
      <c r="AG141">
        <f t="shared" si="22"/>
        <v>2.0794415416798357</v>
      </c>
      <c r="AP141">
        <f t="shared" si="23"/>
        <v>0.47000362924573563</v>
      </c>
      <c r="AQ141">
        <f t="shared" si="24"/>
        <v>8</v>
      </c>
      <c r="AZ141" s="157">
        <f t="shared" si="25"/>
        <v>1.6</v>
      </c>
      <c r="BA141">
        <f t="shared" si="26"/>
        <v>2.0794415416798357</v>
      </c>
    </row>
    <row r="142" spans="2:54" x14ac:dyDescent="0.3">
      <c r="L142" s="157">
        <f t="shared" si="18"/>
        <v>1.7</v>
      </c>
      <c r="M142">
        <f t="shared" si="19"/>
        <v>0.1111111111111111</v>
      </c>
      <c r="V142">
        <v>1.7</v>
      </c>
      <c r="W142">
        <v>9</v>
      </c>
      <c r="X142">
        <f t="shared" si="20"/>
        <v>81</v>
      </c>
      <c r="AF142">
        <f t="shared" si="21"/>
        <v>0.53062825106217038</v>
      </c>
      <c r="AG142">
        <f t="shared" si="22"/>
        <v>2.1972245773362196</v>
      </c>
      <c r="AP142">
        <f t="shared" si="23"/>
        <v>0.53062825106217038</v>
      </c>
      <c r="AQ142">
        <f>B11</f>
        <v>9</v>
      </c>
      <c r="AZ142" s="157">
        <f t="shared" si="25"/>
        <v>1.7</v>
      </c>
      <c r="BA142">
        <f t="shared" si="26"/>
        <v>2.1972245773362196</v>
      </c>
    </row>
    <row r="143" spans="2:54" ht="15" thickBot="1" x14ac:dyDescent="0.35">
      <c r="B143" s="153" t="s">
        <v>526</v>
      </c>
      <c r="C143" s="153" t="s">
        <v>221</v>
      </c>
      <c r="D143" t="s">
        <v>563</v>
      </c>
    </row>
    <row r="144" spans="2:54" x14ac:dyDescent="0.3">
      <c r="B144" s="11" t="s">
        <v>561</v>
      </c>
      <c r="C144" s="11" t="s">
        <v>562</v>
      </c>
      <c r="D144">
        <f>CORREL(B145:B153,C145:C153)</f>
        <v>-1.5600062345338492E-2</v>
      </c>
      <c r="L144" t="s">
        <v>23</v>
      </c>
      <c r="V144" t="s">
        <v>23</v>
      </c>
      <c r="AF144" t="s">
        <v>23</v>
      </c>
      <c r="AP144" t="s">
        <v>23</v>
      </c>
      <c r="AZ144" t="s">
        <v>23</v>
      </c>
    </row>
    <row r="145" spans="2:60" ht="15" thickBot="1" x14ac:dyDescent="0.35">
      <c r="B145" s="9">
        <v>-8.1725571051762813E-3</v>
      </c>
      <c r="C145" s="9">
        <v>-8.8170116438054613E-2</v>
      </c>
      <c r="D145" s="202" t="s">
        <v>564</v>
      </c>
    </row>
    <row r="146" spans="2:60" x14ac:dyDescent="0.3">
      <c r="B146" s="9">
        <v>1.3607574581140369E-3</v>
      </c>
      <c r="C146" s="9">
        <v>0.1940399742575627</v>
      </c>
      <c r="D146" s="202"/>
      <c r="L146" s="12" t="s">
        <v>24</v>
      </c>
      <c r="M146" s="12"/>
      <c r="V146" s="12" t="s">
        <v>24</v>
      </c>
      <c r="W146" s="12"/>
      <c r="AF146" s="12" t="s">
        <v>24</v>
      </c>
      <c r="AG146" s="12"/>
      <c r="AP146" s="12" t="s">
        <v>24</v>
      </c>
      <c r="AQ146" s="12"/>
      <c r="AZ146" s="12" t="s">
        <v>24</v>
      </c>
      <c r="BA146" s="12"/>
    </row>
    <row r="147" spans="2:60" x14ac:dyDescent="0.3">
      <c r="B147" s="9">
        <v>9.3753613035980621E-3</v>
      </c>
      <c r="C147" s="9">
        <v>8.8110004489434512E-2</v>
      </c>
      <c r="D147" s="202"/>
      <c r="F147" s="163"/>
      <c r="L147" s="9" t="s">
        <v>25</v>
      </c>
      <c r="M147" s="9">
        <v>0.99261114511001125</v>
      </c>
      <c r="V147" s="9" t="s">
        <v>25</v>
      </c>
      <c r="W147" s="9">
        <v>0.9767400877526804</v>
      </c>
      <c r="AF147" s="9" t="s">
        <v>25</v>
      </c>
      <c r="AG147" s="9">
        <v>0.98045280738322516</v>
      </c>
      <c r="AP147" s="9" t="s">
        <v>25</v>
      </c>
      <c r="AQ147" s="9">
        <v>0.88925009221368945</v>
      </c>
      <c r="AZ147" s="9" t="s">
        <v>25</v>
      </c>
      <c r="BA147" s="9">
        <v>0.96269855118229752</v>
      </c>
    </row>
    <row r="148" spans="2:60" x14ac:dyDescent="0.3">
      <c r="B148" s="9">
        <v>-3.610614181476457E-3</v>
      </c>
      <c r="C148" s="9">
        <v>-6.4854980394629003E-2</v>
      </c>
      <c r="D148" s="202"/>
      <c r="L148" s="9" t="s">
        <v>26</v>
      </c>
      <c r="M148" s="9">
        <v>0.98527688539660785</v>
      </c>
      <c r="V148" s="9" t="s">
        <v>26</v>
      </c>
      <c r="W148" s="9">
        <v>0.95402119902311389</v>
      </c>
      <c r="AF148" s="9" t="s">
        <v>26</v>
      </c>
      <c r="AG148" s="9">
        <v>0.96128770750564752</v>
      </c>
      <c r="AP148" s="9" t="s">
        <v>26</v>
      </c>
      <c r="AQ148" s="9">
        <v>0.79076572650205512</v>
      </c>
      <c r="AZ148" s="9" t="s">
        <v>26</v>
      </c>
      <c r="BA148" s="9">
        <v>0.92678850044849481</v>
      </c>
    </row>
    <row r="149" spans="2:60" x14ac:dyDescent="0.3">
      <c r="B149" s="9">
        <v>1.1959111301774961E-2</v>
      </c>
      <c r="C149" s="9">
        <v>-1.6633971325067609E-2</v>
      </c>
      <c r="D149" s="202"/>
      <c r="L149" s="9" t="s">
        <v>27</v>
      </c>
      <c r="M149" s="9">
        <v>0.98317358331040894</v>
      </c>
      <c r="V149" s="9" t="s">
        <v>27</v>
      </c>
      <c r="W149" s="9">
        <v>0.93869493203081855</v>
      </c>
      <c r="AF149" s="9" t="s">
        <v>27</v>
      </c>
      <c r="AG149" s="9">
        <v>0.95575738000645427</v>
      </c>
      <c r="AP149" s="9" t="s">
        <v>27</v>
      </c>
      <c r="AQ149" s="9">
        <v>0.76087511600234869</v>
      </c>
      <c r="AZ149" s="9" t="s">
        <v>27</v>
      </c>
      <c r="BA149" s="9">
        <v>0.91632971479827974</v>
      </c>
    </row>
    <row r="150" spans="2:60" x14ac:dyDescent="0.3">
      <c r="B150" s="9">
        <v>1.630789416683065E-2</v>
      </c>
      <c r="C150" s="9">
        <v>-0.1178199652786931</v>
      </c>
      <c r="D150" s="202"/>
      <c r="L150" s="9" t="s">
        <v>28</v>
      </c>
      <c r="M150" s="9">
        <v>0.11047092877580697</v>
      </c>
      <c r="V150" s="9" t="s">
        <v>28</v>
      </c>
      <c r="W150" s="9">
        <v>0.21086299690368501</v>
      </c>
      <c r="AF150" s="9" t="s">
        <v>28</v>
      </c>
      <c r="AG150" s="9">
        <v>6.7385620558772702E-2</v>
      </c>
      <c r="AP150" s="9" t="s">
        <v>28</v>
      </c>
      <c r="AQ150" s="9">
        <v>0.15666038865012713</v>
      </c>
      <c r="AZ150" s="9" t="s">
        <v>28</v>
      </c>
      <c r="BA150" s="9">
        <v>0.24634162968758749</v>
      </c>
    </row>
    <row r="151" spans="2:60" ht="15" thickBot="1" x14ac:dyDescent="0.35">
      <c r="B151" s="9">
        <v>-1.5968279113510064E-2</v>
      </c>
      <c r="C151" s="9">
        <v>5.2761467611574631E-2</v>
      </c>
      <c r="D151" s="202"/>
      <c r="L151" s="10" t="s">
        <v>29</v>
      </c>
      <c r="M151" s="10">
        <v>9</v>
      </c>
      <c r="V151" s="10" t="s">
        <v>29</v>
      </c>
      <c r="W151" s="10">
        <v>9</v>
      </c>
      <c r="AF151" s="10" t="s">
        <v>29</v>
      </c>
      <c r="AG151" s="10">
        <v>9</v>
      </c>
      <c r="AP151" s="10" t="s">
        <v>29</v>
      </c>
      <c r="AQ151" s="10">
        <v>9</v>
      </c>
      <c r="AZ151" s="10" t="s">
        <v>29</v>
      </c>
      <c r="BA151" s="10">
        <v>9</v>
      </c>
    </row>
    <row r="152" spans="2:60" x14ac:dyDescent="0.3">
      <c r="B152" s="9">
        <v>-9.2568635251035758E-3</v>
      </c>
      <c r="C152" s="9">
        <v>-9.4302457720724764E-2</v>
      </c>
      <c r="D152" s="202"/>
    </row>
    <row r="153" spans="2:60" ht="15" thickBot="1" x14ac:dyDescent="0.35">
      <c r="B153" s="10">
        <v>-1.9948103050593247E-3</v>
      </c>
      <c r="C153" s="10">
        <v>4.6870044798597688E-2</v>
      </c>
      <c r="D153" s="202"/>
      <c r="L153" t="s">
        <v>30</v>
      </c>
      <c r="V153" t="s">
        <v>30</v>
      </c>
      <c r="AF153" t="s">
        <v>30</v>
      </c>
      <c r="AP153" t="s">
        <v>30</v>
      </c>
      <c r="AZ153" t="s">
        <v>30</v>
      </c>
    </row>
    <row r="154" spans="2:60" x14ac:dyDescent="0.3">
      <c r="L154" s="11"/>
      <c r="M154" s="11" t="s">
        <v>35</v>
      </c>
      <c r="N154" s="11" t="s">
        <v>36</v>
      </c>
      <c r="O154" s="11" t="s">
        <v>37</v>
      </c>
      <c r="P154" s="11" t="s">
        <v>38</v>
      </c>
      <c r="Q154" s="11" t="s">
        <v>39</v>
      </c>
      <c r="V154" s="11"/>
      <c r="W154" s="11" t="s">
        <v>35</v>
      </c>
      <c r="X154" s="11" t="s">
        <v>36</v>
      </c>
      <c r="Y154" s="11" t="s">
        <v>37</v>
      </c>
      <c r="Z154" s="11" t="s">
        <v>38</v>
      </c>
      <c r="AA154" s="11" t="s">
        <v>39</v>
      </c>
      <c r="AF154" s="11"/>
      <c r="AG154" s="11" t="s">
        <v>35</v>
      </c>
      <c r="AH154" s="11" t="s">
        <v>36</v>
      </c>
      <c r="AI154" s="11" t="s">
        <v>37</v>
      </c>
      <c r="AJ154" s="11" t="s">
        <v>38</v>
      </c>
      <c r="AK154" s="11" t="s">
        <v>39</v>
      </c>
      <c r="AP154" s="11"/>
      <c r="AQ154" s="11" t="s">
        <v>35</v>
      </c>
      <c r="AR154" s="11" t="s">
        <v>36</v>
      </c>
      <c r="AS154" s="11" t="s">
        <v>37</v>
      </c>
      <c r="AT154" s="11" t="s">
        <v>38</v>
      </c>
      <c r="AU154" s="11" t="s">
        <v>39</v>
      </c>
      <c r="AZ154" s="11"/>
      <c r="BA154" s="11" t="s">
        <v>35</v>
      </c>
      <c r="BB154" s="11" t="s">
        <v>36</v>
      </c>
      <c r="BC154" s="11" t="s">
        <v>37</v>
      </c>
      <c r="BD154" s="11" t="s">
        <v>38</v>
      </c>
      <c r="BE154" s="11" t="s">
        <v>39</v>
      </c>
    </row>
    <row r="155" spans="2:60" x14ac:dyDescent="0.3">
      <c r="L155" s="9" t="s">
        <v>31</v>
      </c>
      <c r="M155" s="9">
        <v>1</v>
      </c>
      <c r="N155" s="9">
        <v>5.7167954394900953</v>
      </c>
      <c r="O155" s="9">
        <v>5.7167954394900953</v>
      </c>
      <c r="P155" s="9">
        <v>468.44287934750366</v>
      </c>
      <c r="Q155" s="9">
        <v>1.1335301761022766E-7</v>
      </c>
      <c r="V155" s="9" t="s">
        <v>31</v>
      </c>
      <c r="W155" s="9">
        <v>2</v>
      </c>
      <c r="X155" s="9">
        <v>5.5354430014430003</v>
      </c>
      <c r="Y155" s="9">
        <v>2.7677215007215001</v>
      </c>
      <c r="Z155" s="9">
        <v>62.247460487456564</v>
      </c>
      <c r="AA155" s="9">
        <v>9.7201490608749786E-5</v>
      </c>
      <c r="AF155" s="9" t="s">
        <v>31</v>
      </c>
      <c r="AG155" s="9">
        <v>1</v>
      </c>
      <c r="AH155" s="9">
        <v>0.7892907309363717</v>
      </c>
      <c r="AI155" s="9">
        <v>0.7892907309363717</v>
      </c>
      <c r="AJ155" s="9">
        <v>173.82111776307724</v>
      </c>
      <c r="AK155" s="9">
        <v>3.3732610131269574E-6</v>
      </c>
      <c r="AP155" s="9" t="s">
        <v>31</v>
      </c>
      <c r="AQ155" s="9">
        <v>1</v>
      </c>
      <c r="AR155" s="9">
        <v>0.64927914233894568</v>
      </c>
      <c r="AS155" s="9">
        <v>0.64927914233894568</v>
      </c>
      <c r="AT155" s="9">
        <v>26.455322031974642</v>
      </c>
      <c r="AU155" s="9">
        <v>1.3336005662110172E-3</v>
      </c>
      <c r="AZ155" s="9" t="s">
        <v>31</v>
      </c>
      <c r="BA155" s="9">
        <v>1</v>
      </c>
      <c r="BB155" s="9">
        <v>5.377432832602266</v>
      </c>
      <c r="BC155" s="9">
        <v>5.377432832602266</v>
      </c>
      <c r="BD155" s="9">
        <v>88.613394656332872</v>
      </c>
      <c r="BE155" s="9">
        <v>3.182152568817667E-5</v>
      </c>
    </row>
    <row r="156" spans="2:60" x14ac:dyDescent="0.3">
      <c r="L156" s="9" t="s">
        <v>32</v>
      </c>
      <c r="M156" s="9">
        <v>7</v>
      </c>
      <c r="N156" s="9">
        <v>8.5426782732125908E-2</v>
      </c>
      <c r="O156" s="9">
        <v>1.2203826104589416E-2</v>
      </c>
      <c r="P156" s="9"/>
      <c r="Q156" s="9"/>
      <c r="V156" s="9" t="s">
        <v>32</v>
      </c>
      <c r="W156" s="9">
        <v>6</v>
      </c>
      <c r="X156" s="9">
        <v>0.26677922077922084</v>
      </c>
      <c r="Y156" s="9">
        <v>4.4463203463203475E-2</v>
      </c>
      <c r="Z156" s="9"/>
      <c r="AA156" s="9"/>
      <c r="AF156" s="9" t="s">
        <v>32</v>
      </c>
      <c r="AG156" s="9">
        <v>7</v>
      </c>
      <c r="AH156" s="9">
        <v>3.1785753006636226E-2</v>
      </c>
      <c r="AI156" s="9">
        <v>4.5408218580908896E-3</v>
      </c>
      <c r="AJ156" s="9"/>
      <c r="AK156" s="9"/>
      <c r="AP156" s="9" t="s">
        <v>32</v>
      </c>
      <c r="AQ156" s="9">
        <v>7</v>
      </c>
      <c r="AR156" s="9">
        <v>0.17179734160406218</v>
      </c>
      <c r="AS156" s="9">
        <v>2.4542477372008882E-2</v>
      </c>
      <c r="AT156" s="9"/>
      <c r="AU156" s="9"/>
      <c r="AZ156" s="9" t="s">
        <v>32</v>
      </c>
      <c r="BA156" s="9">
        <v>7</v>
      </c>
      <c r="BB156" s="9">
        <v>0.42478938961995544</v>
      </c>
      <c r="BC156" s="9">
        <v>6.0684198517136488E-2</v>
      </c>
      <c r="BD156" s="9"/>
      <c r="BE156" s="9"/>
    </row>
    <row r="157" spans="2:60" ht="15" thickBot="1" x14ac:dyDescent="0.35">
      <c r="L157" s="10" t="s">
        <v>33</v>
      </c>
      <c r="M157" s="10">
        <v>8</v>
      </c>
      <c r="N157" s="10">
        <v>5.8022222222222215</v>
      </c>
      <c r="O157" s="10"/>
      <c r="P157" s="10"/>
      <c r="Q157" s="10"/>
      <c r="V157" s="10" t="s">
        <v>33</v>
      </c>
      <c r="W157" s="10">
        <v>8</v>
      </c>
      <c r="X157" s="10">
        <v>5.8022222222222215</v>
      </c>
      <c r="Y157" s="10"/>
      <c r="Z157" s="10"/>
      <c r="AA157" s="10"/>
      <c r="AF157" s="10" t="s">
        <v>33</v>
      </c>
      <c r="AG157" s="10">
        <v>8</v>
      </c>
      <c r="AH157" s="10">
        <v>0.82107648394300792</v>
      </c>
      <c r="AI157" s="10"/>
      <c r="AJ157" s="10"/>
      <c r="AK157" s="10"/>
      <c r="AP157" s="10" t="s">
        <v>33</v>
      </c>
      <c r="AQ157" s="10">
        <v>8</v>
      </c>
      <c r="AR157" s="10">
        <v>0.82107648394300781</v>
      </c>
      <c r="AS157" s="10"/>
      <c r="AT157" s="10"/>
      <c r="AU157" s="10"/>
      <c r="AZ157" s="10" t="s">
        <v>33</v>
      </c>
      <c r="BA157" s="10">
        <v>8</v>
      </c>
      <c r="BB157" s="10">
        <v>5.8022222222222215</v>
      </c>
      <c r="BC157" s="10"/>
      <c r="BD157" s="10"/>
      <c r="BE157" s="10"/>
    </row>
    <row r="158" spans="2:60" ht="31.8" customHeight="1" thickBot="1" x14ac:dyDescent="0.35">
      <c r="B158" s="200" t="s">
        <v>565</v>
      </c>
      <c r="C158" s="200"/>
      <c r="D158" s="200"/>
    </row>
    <row r="159" spans="2:60" x14ac:dyDescent="0.3">
      <c r="L159" s="11"/>
      <c r="M159" s="11" t="s">
        <v>40</v>
      </c>
      <c r="N159" s="11" t="s">
        <v>28</v>
      </c>
      <c r="O159" s="11" t="s">
        <v>41</v>
      </c>
      <c r="P159" s="11" t="s">
        <v>42</v>
      </c>
      <c r="Q159" s="11" t="s">
        <v>43</v>
      </c>
      <c r="R159" s="11" t="s">
        <v>44</v>
      </c>
      <c r="S159" s="11" t="s">
        <v>45</v>
      </c>
      <c r="T159" s="11" t="s">
        <v>46</v>
      </c>
      <c r="V159" s="11"/>
      <c r="W159" s="11" t="s">
        <v>40</v>
      </c>
      <c r="X159" s="11" t="s">
        <v>28</v>
      </c>
      <c r="Y159" s="11" t="s">
        <v>41</v>
      </c>
      <c r="Z159" s="11" t="s">
        <v>42</v>
      </c>
      <c r="AA159" s="11" t="s">
        <v>43</v>
      </c>
      <c r="AB159" s="11" t="s">
        <v>44</v>
      </c>
      <c r="AC159" s="11" t="s">
        <v>45</v>
      </c>
      <c r="AD159" s="11" t="s">
        <v>46</v>
      </c>
      <c r="AF159" s="11"/>
      <c r="AG159" s="11" t="s">
        <v>40</v>
      </c>
      <c r="AH159" s="11" t="s">
        <v>28</v>
      </c>
      <c r="AI159" s="11" t="s">
        <v>41</v>
      </c>
      <c r="AJ159" s="11" t="s">
        <v>42</v>
      </c>
      <c r="AK159" s="11" t="s">
        <v>43</v>
      </c>
      <c r="AL159" s="11" t="s">
        <v>44</v>
      </c>
      <c r="AM159" s="11" t="s">
        <v>45</v>
      </c>
      <c r="AN159" s="11" t="s">
        <v>46</v>
      </c>
      <c r="AP159" s="11"/>
      <c r="AQ159" s="11" t="s">
        <v>40</v>
      </c>
      <c r="AR159" s="11" t="s">
        <v>28</v>
      </c>
      <c r="AS159" s="11" t="s">
        <v>41</v>
      </c>
      <c r="AT159" s="11" t="s">
        <v>42</v>
      </c>
      <c r="AU159" s="11" t="s">
        <v>43</v>
      </c>
      <c r="AV159" s="11" t="s">
        <v>44</v>
      </c>
      <c r="AW159" s="11" t="s">
        <v>45</v>
      </c>
      <c r="AX159" s="11" t="s">
        <v>46</v>
      </c>
      <c r="AZ159" s="11"/>
      <c r="BA159" s="11" t="s">
        <v>40</v>
      </c>
      <c r="BB159" s="11" t="s">
        <v>28</v>
      </c>
      <c r="BC159" s="11" t="s">
        <v>41</v>
      </c>
      <c r="BD159" s="11" t="s">
        <v>42</v>
      </c>
      <c r="BE159" s="11" t="s">
        <v>43</v>
      </c>
      <c r="BF159" s="11" t="s">
        <v>44</v>
      </c>
      <c r="BG159" s="11" t="s">
        <v>45</v>
      </c>
      <c r="BH159" s="11" t="s">
        <v>46</v>
      </c>
    </row>
    <row r="160" spans="2:60" x14ac:dyDescent="0.3">
      <c r="L160" s="9" t="s">
        <v>34</v>
      </c>
      <c r="M160" s="9">
        <v>1.3237499350468207</v>
      </c>
      <c r="N160" s="9">
        <v>5.6652332129201954E-2</v>
      </c>
      <c r="O160" s="9">
        <v>23.366203742996166</v>
      </c>
      <c r="P160" s="9">
        <v>6.6748734966245991E-8</v>
      </c>
      <c r="Q160" s="9">
        <v>1.1897884565848207</v>
      </c>
      <c r="R160" s="9">
        <v>1.4577114135088207</v>
      </c>
      <c r="S160" s="9">
        <v>1.1897884565848207</v>
      </c>
      <c r="T160" s="9">
        <v>1.4577114135088207</v>
      </c>
      <c r="V160" s="9" t="s">
        <v>34</v>
      </c>
      <c r="W160" s="9">
        <v>4.8119047619047608</v>
      </c>
      <c r="X160" s="9">
        <v>0.26830587712968451</v>
      </c>
      <c r="Y160" s="9">
        <v>17.934399400349129</v>
      </c>
      <c r="Z160" s="9">
        <v>1.9324467267886836E-6</v>
      </c>
      <c r="AA160" s="9">
        <v>4.1553839314242893</v>
      </c>
      <c r="AB160" s="9">
        <v>5.4684255923852323</v>
      </c>
      <c r="AC160" s="9">
        <v>4.1553839314242893</v>
      </c>
      <c r="AD160" s="9">
        <v>5.4684255923852323</v>
      </c>
      <c r="AF160" s="9" t="s">
        <v>34</v>
      </c>
      <c r="AG160" s="9">
        <v>1.3837569536738432</v>
      </c>
      <c r="AH160" s="9">
        <v>5.2195919393634237E-2</v>
      </c>
      <c r="AI160" s="9">
        <v>26.510826320315854</v>
      </c>
      <c r="AJ160" s="9">
        <v>2.7824058988984066E-8</v>
      </c>
      <c r="AK160" s="9">
        <v>1.2603332168414736</v>
      </c>
      <c r="AL160" s="9">
        <v>1.5071806905062128</v>
      </c>
      <c r="AM160" s="9">
        <v>1.2603332168414736</v>
      </c>
      <c r="AN160" s="9">
        <v>1.5071806905062128</v>
      </c>
      <c r="AP160" s="9" t="s">
        <v>34</v>
      </c>
      <c r="AQ160" s="9">
        <v>1.2827071140554076</v>
      </c>
      <c r="AR160" s="9">
        <v>0.1138111337636184</v>
      </c>
      <c r="AS160" s="9">
        <v>11.270488849707304</v>
      </c>
      <c r="AT160" s="9">
        <v>9.6751452624131039E-6</v>
      </c>
      <c r="AU160" s="9">
        <v>1.0135865470566852</v>
      </c>
      <c r="AV160" s="9">
        <v>1.55182768105413</v>
      </c>
      <c r="AW160" s="9">
        <v>1.0135865470566852</v>
      </c>
      <c r="AX160" s="9">
        <v>1.55182768105413</v>
      </c>
      <c r="AZ160" s="9" t="s">
        <v>34</v>
      </c>
      <c r="BA160" s="9">
        <v>3.876935669240086</v>
      </c>
      <c r="BB160" s="9">
        <v>0.19081263539385587</v>
      </c>
      <c r="BC160" s="9">
        <v>20.318023810308542</v>
      </c>
      <c r="BD160" s="9">
        <v>1.7534065897284144E-7</v>
      </c>
      <c r="BE160" s="9">
        <v>3.4257354840774425</v>
      </c>
      <c r="BF160" s="9">
        <v>4.3281358544027295</v>
      </c>
      <c r="BG160" s="9">
        <v>3.4257354840774425</v>
      </c>
      <c r="BH160" s="9">
        <v>4.3281358544027295</v>
      </c>
    </row>
    <row r="161" spans="2:60" ht="15" thickBot="1" x14ac:dyDescent="0.35">
      <c r="B161" t="s">
        <v>236</v>
      </c>
      <c r="C161" t="s">
        <v>355</v>
      </c>
      <c r="D161" t="s">
        <v>507</v>
      </c>
      <c r="L161" s="10" t="s">
        <v>533</v>
      </c>
      <c r="M161" s="10">
        <v>2.9644201813912336</v>
      </c>
      <c r="N161" s="10">
        <v>0.13696557981807797</v>
      </c>
      <c r="O161" s="10">
        <v>21.643541284815285</v>
      </c>
      <c r="P161" s="10">
        <v>1.1335301761022806E-7</v>
      </c>
      <c r="Q161" s="10">
        <v>2.6405480497199392</v>
      </c>
      <c r="R161" s="10">
        <v>3.2882923130625281</v>
      </c>
      <c r="S161" s="10">
        <v>2.6405480497199392</v>
      </c>
      <c r="T161" s="10">
        <v>3.2882923130625281</v>
      </c>
      <c r="V161" s="9" t="s">
        <v>538</v>
      </c>
      <c r="W161" s="9">
        <v>-0.94240259740259713</v>
      </c>
      <c r="X161" s="9">
        <v>0.12319561035838082</v>
      </c>
      <c r="Y161" s="9">
        <v>-7.6496442905807385</v>
      </c>
      <c r="Z161" s="9">
        <v>2.6063952430005894E-4</v>
      </c>
      <c r="AA161" s="9">
        <v>-1.2438513963975573</v>
      </c>
      <c r="AB161" s="9">
        <v>-0.64095379840763711</v>
      </c>
      <c r="AC161" s="9">
        <v>-1.2438513963975573</v>
      </c>
      <c r="AD161" s="9">
        <v>-0.64095379840763711</v>
      </c>
      <c r="AF161" s="10" t="s">
        <v>545</v>
      </c>
      <c r="AG161" s="10">
        <v>-0.43670321111944416</v>
      </c>
      <c r="AH161" s="10">
        <v>3.3123415785803259E-2</v>
      </c>
      <c r="AI161" s="10">
        <v>-13.184123700992689</v>
      </c>
      <c r="AJ161" s="10">
        <v>3.3732610131269633E-6</v>
      </c>
      <c r="AK161" s="10">
        <v>-0.51502764338214579</v>
      </c>
      <c r="AL161" s="10">
        <v>-0.35837877885674252</v>
      </c>
      <c r="AM161" s="10">
        <v>-0.51502764338214579</v>
      </c>
      <c r="AN161" s="10">
        <v>-0.35837877885674252</v>
      </c>
      <c r="AP161" s="10" t="s">
        <v>507</v>
      </c>
      <c r="AQ161" s="10">
        <v>-0.10402556915961778</v>
      </c>
      <c r="AR161" s="10">
        <v>2.0224769208410792E-2</v>
      </c>
      <c r="AS161" s="10">
        <v>-5.1434737320195021</v>
      </c>
      <c r="AT161" s="10">
        <v>1.3336005662110198E-3</v>
      </c>
      <c r="AU161" s="10">
        <v>-0.15184954891269295</v>
      </c>
      <c r="AV161" s="10">
        <v>-5.6201589406542608E-2</v>
      </c>
      <c r="AW161" s="10">
        <v>-0.15184954891269295</v>
      </c>
      <c r="AX161" s="10">
        <v>-5.6201589406542608E-2</v>
      </c>
      <c r="AZ161" s="10" t="s">
        <v>545</v>
      </c>
      <c r="BA161" s="10">
        <v>-1.1398701510284615</v>
      </c>
      <c r="BB161" s="10">
        <v>0.12108927925324356</v>
      </c>
      <c r="BC161" s="10">
        <v>-9.4134687897890714</v>
      </c>
      <c r="BD161" s="10">
        <v>3.1821525688176609E-5</v>
      </c>
      <c r="BE161" s="10">
        <v>-1.4262007973585722</v>
      </c>
      <c r="BF161" s="10">
        <v>-0.85353950469835072</v>
      </c>
      <c r="BG161" s="10">
        <v>-1.4262007973585722</v>
      </c>
      <c r="BH161" s="10">
        <v>-0.85353950469835072</v>
      </c>
    </row>
    <row r="162" spans="2:60" ht="15" thickBot="1" x14ac:dyDescent="0.35">
      <c r="B162" cm="1">
        <f t="array" ref="B162:B170">C3:C11</f>
        <v>72</v>
      </c>
      <c r="C162" s="157" cm="1">
        <f t="array" ref="C162:C170">D3:D11</f>
        <v>4.2</v>
      </c>
      <c r="D162" cm="1">
        <f t="array" ref="D162:D170">B3:B11</f>
        <v>1</v>
      </c>
      <c r="V162" s="10" t="s">
        <v>541</v>
      </c>
      <c r="W162" s="10">
        <v>6.8073593073593064E-2</v>
      </c>
      <c r="X162" s="10">
        <v>1.2015034340575395E-2</v>
      </c>
      <c r="Y162" s="10">
        <v>5.6657010828262893</v>
      </c>
      <c r="Z162" s="10">
        <v>1.3001880325554836E-3</v>
      </c>
      <c r="AA162" s="10">
        <v>3.8673863153725341E-2</v>
      </c>
      <c r="AB162" s="10">
        <v>9.7473322993460787E-2</v>
      </c>
      <c r="AC162" s="10">
        <v>3.8673863153725341E-2</v>
      </c>
      <c r="AD162" s="10">
        <v>9.7473322993460787E-2</v>
      </c>
    </row>
    <row r="163" spans="2:60" x14ac:dyDescent="0.3">
      <c r="B163">
        <v>75</v>
      </c>
      <c r="C163">
        <v>3</v>
      </c>
      <c r="D163">
        <v>2</v>
      </c>
    </row>
    <row r="164" spans="2:60" x14ac:dyDescent="0.3">
      <c r="B164">
        <v>77</v>
      </c>
      <c r="C164">
        <v>2.4</v>
      </c>
      <c r="D164">
        <v>3</v>
      </c>
    </row>
    <row r="165" spans="2:60" x14ac:dyDescent="0.3">
      <c r="B165">
        <v>77</v>
      </c>
      <c r="C165">
        <v>2</v>
      </c>
      <c r="D165">
        <v>4</v>
      </c>
    </row>
    <row r="166" spans="2:60" x14ac:dyDescent="0.3">
      <c r="B166">
        <v>79</v>
      </c>
      <c r="C166">
        <v>1.9</v>
      </c>
      <c r="D166">
        <v>5</v>
      </c>
    </row>
    <row r="167" spans="2:60" x14ac:dyDescent="0.3">
      <c r="B167">
        <v>80</v>
      </c>
      <c r="C167">
        <v>1.7</v>
      </c>
      <c r="D167">
        <v>6</v>
      </c>
    </row>
    <row r="168" spans="2:60" x14ac:dyDescent="0.3">
      <c r="B168">
        <v>78</v>
      </c>
      <c r="C168">
        <v>1.8</v>
      </c>
      <c r="D168">
        <v>7</v>
      </c>
    </row>
    <row r="169" spans="2:60" x14ac:dyDescent="0.3">
      <c r="B169">
        <v>79</v>
      </c>
      <c r="C169">
        <v>1.6</v>
      </c>
      <c r="D169">
        <v>8</v>
      </c>
    </row>
    <row r="170" spans="2:60" x14ac:dyDescent="0.3">
      <c r="B170">
        <v>80</v>
      </c>
      <c r="C170">
        <v>1.7</v>
      </c>
      <c r="D170">
        <v>9</v>
      </c>
    </row>
    <row r="172" spans="2:60" x14ac:dyDescent="0.3">
      <c r="B172" t="s">
        <v>23</v>
      </c>
    </row>
    <row r="173" spans="2:60" ht="15" thickBot="1" x14ac:dyDescent="0.35"/>
    <row r="174" spans="2:60" x14ac:dyDescent="0.3">
      <c r="B174" s="12" t="s">
        <v>24</v>
      </c>
      <c r="C174" s="12"/>
    </row>
    <row r="175" spans="2:60" x14ac:dyDescent="0.3">
      <c r="B175" s="9" t="s">
        <v>25</v>
      </c>
      <c r="C175" s="9">
        <v>0.96441897166603641</v>
      </c>
    </row>
    <row r="176" spans="2:60" x14ac:dyDescent="0.3">
      <c r="B176" s="9" t="s">
        <v>26</v>
      </c>
      <c r="C176" s="9">
        <v>0.93010395290937509</v>
      </c>
    </row>
    <row r="177" spans="2:10" x14ac:dyDescent="0.3">
      <c r="B177" s="9" t="s">
        <v>27</v>
      </c>
      <c r="C177" s="9">
        <v>0.90680527054583349</v>
      </c>
    </row>
    <row r="178" spans="2:10" x14ac:dyDescent="0.3">
      <c r="B178" s="9" t="s">
        <v>28</v>
      </c>
      <c r="C178" s="9">
        <v>0.79476610792135727</v>
      </c>
    </row>
    <row r="179" spans="2:10" ht="15" thickBot="1" x14ac:dyDescent="0.35">
      <c r="B179" s="10" t="s">
        <v>29</v>
      </c>
      <c r="C179" s="10">
        <v>9</v>
      </c>
    </row>
    <row r="181" spans="2:10" ht="15" thickBot="1" x14ac:dyDescent="0.35">
      <c r="B181" t="s">
        <v>30</v>
      </c>
    </row>
    <row r="182" spans="2:10" x14ac:dyDescent="0.3">
      <c r="B182" s="11"/>
      <c r="C182" s="11" t="s">
        <v>35</v>
      </c>
      <c r="D182" s="11" t="s">
        <v>36</v>
      </c>
      <c r="E182" s="11" t="s">
        <v>37</v>
      </c>
      <c r="F182" s="11" t="s">
        <v>38</v>
      </c>
      <c r="G182" s="11" t="s">
        <v>39</v>
      </c>
    </row>
    <row r="183" spans="2:10" x14ac:dyDescent="0.3">
      <c r="B183" s="9" t="s">
        <v>31</v>
      </c>
      <c r="C183" s="9">
        <v>2</v>
      </c>
      <c r="D183" s="9">
        <v>50.432303224419464</v>
      </c>
      <c r="E183" s="9">
        <v>25.216151612209732</v>
      </c>
      <c r="F183" s="9">
        <v>39.920882151036359</v>
      </c>
      <c r="G183" s="9">
        <v>3.4147416041239699E-4</v>
      </c>
    </row>
    <row r="184" spans="2:10" x14ac:dyDescent="0.3">
      <c r="B184" s="9" t="s">
        <v>32</v>
      </c>
      <c r="C184" s="9">
        <v>6</v>
      </c>
      <c r="D184" s="9">
        <v>3.7899189978027747</v>
      </c>
      <c r="E184" s="9">
        <v>0.63165316630046242</v>
      </c>
      <c r="F184" s="9"/>
      <c r="G184" s="9"/>
    </row>
    <row r="185" spans="2:10" ht="15" thickBot="1" x14ac:dyDescent="0.35">
      <c r="B185" s="10" t="s">
        <v>33</v>
      </c>
      <c r="C185" s="10">
        <v>8</v>
      </c>
      <c r="D185" s="10">
        <v>54.222222222222236</v>
      </c>
      <c r="E185" s="10"/>
      <c r="F185" s="10"/>
      <c r="G185" s="10"/>
    </row>
    <row r="186" spans="2:10" ht="15" thickBot="1" x14ac:dyDescent="0.35"/>
    <row r="187" spans="2:10" x14ac:dyDescent="0.3">
      <c r="B187" s="11"/>
      <c r="C187" s="11" t="s">
        <v>40</v>
      </c>
      <c r="D187" s="11" t="s">
        <v>28</v>
      </c>
      <c r="E187" s="11" t="s">
        <v>41</v>
      </c>
      <c r="F187" s="11" t="s">
        <v>42</v>
      </c>
      <c r="G187" s="11" t="s">
        <v>43</v>
      </c>
      <c r="H187" s="11" t="s">
        <v>44</v>
      </c>
      <c r="I187" s="11" t="s">
        <v>45</v>
      </c>
      <c r="J187" s="11" t="s">
        <v>46</v>
      </c>
    </row>
    <row r="188" spans="2:10" x14ac:dyDescent="0.3">
      <c r="B188" s="9" t="s">
        <v>34</v>
      </c>
      <c r="C188" s="9">
        <v>82.19807824746664</v>
      </c>
      <c r="D188" s="9">
        <v>2.2514967885654231</v>
      </c>
      <c r="E188" s="9">
        <v>36.508192534371965</v>
      </c>
      <c r="F188" s="9">
        <v>2.8173515216465562E-8</v>
      </c>
      <c r="G188" s="9">
        <v>76.68886407271107</v>
      </c>
      <c r="H188" s="9">
        <v>87.70729242222221</v>
      </c>
      <c r="I188" s="9">
        <v>76.68886407271107</v>
      </c>
      <c r="J188" s="9">
        <v>87.70729242222221</v>
      </c>
    </row>
    <row r="189" spans="2:10" x14ac:dyDescent="0.3">
      <c r="B189" s="9" t="s">
        <v>355</v>
      </c>
      <c r="C189" s="9">
        <v>-2.4795854786344416</v>
      </c>
      <c r="D189" s="9">
        <v>0.61062631230085307</v>
      </c>
      <c r="E189" s="9">
        <v>-4.0607249125759255</v>
      </c>
      <c r="F189" s="160">
        <v>6.6450568861566202E-3</v>
      </c>
      <c r="G189" s="9">
        <v>-3.9737342388243482</v>
      </c>
      <c r="H189" s="9">
        <v>-0.98543671844453473</v>
      </c>
      <c r="I189" s="9">
        <v>-3.9737342388243482</v>
      </c>
      <c r="J189" s="9">
        <v>-0.98543671844453473</v>
      </c>
    </row>
    <row r="190" spans="2:10" ht="15" thickBot="1" x14ac:dyDescent="0.35">
      <c r="B190" s="10" t="s">
        <v>507</v>
      </c>
      <c r="C190" s="10">
        <v>0.16784179975732122</v>
      </c>
      <c r="D190" s="10">
        <v>0.18988780234447381</v>
      </c>
      <c r="E190" s="10">
        <v>0.88389984867401261</v>
      </c>
      <c r="F190" s="10">
        <v>0.41076588112981521</v>
      </c>
      <c r="G190" s="10">
        <v>-0.2967969141872453</v>
      </c>
      <c r="H190" s="10">
        <v>0.63248051370188774</v>
      </c>
      <c r="I190" s="10">
        <v>-0.2967969141872453</v>
      </c>
      <c r="J190" s="10">
        <v>0.63248051370188774</v>
      </c>
    </row>
    <row r="194" spans="2:4" x14ac:dyDescent="0.3">
      <c r="B194" t="s">
        <v>47</v>
      </c>
    </row>
    <row r="195" spans="2:4" ht="15" thickBot="1" x14ac:dyDescent="0.35"/>
    <row r="196" spans="2:4" x14ac:dyDescent="0.3">
      <c r="B196" s="11" t="s">
        <v>48</v>
      </c>
      <c r="C196" s="11" t="s">
        <v>244</v>
      </c>
      <c r="D196" s="11" t="s">
        <v>49</v>
      </c>
    </row>
    <row r="197" spans="2:4" x14ac:dyDescent="0.3">
      <c r="B197" s="9">
        <v>1</v>
      </c>
      <c r="C197" s="9">
        <v>71.951661036959308</v>
      </c>
      <c r="D197" s="9">
        <v>4.8338963040691851E-2</v>
      </c>
    </row>
    <row r="198" spans="2:4" x14ac:dyDescent="0.3">
      <c r="B198" s="9">
        <v>2</v>
      </c>
      <c r="C198" s="9">
        <v>75.095005411077949</v>
      </c>
      <c r="D198" s="9">
        <v>-9.500541107794902E-2</v>
      </c>
    </row>
    <row r="199" spans="2:4" x14ac:dyDescent="0.3">
      <c r="B199" s="9">
        <v>3</v>
      </c>
      <c r="C199" s="9">
        <v>76.750598498015947</v>
      </c>
      <c r="D199" s="9">
        <v>0.2494015019840532</v>
      </c>
    </row>
    <row r="200" spans="2:4" x14ac:dyDescent="0.3">
      <c r="B200" s="9">
        <v>4</v>
      </c>
      <c r="C200" s="9">
        <v>77.910274489227049</v>
      </c>
      <c r="D200" s="9">
        <v>-0.91027448922704934</v>
      </c>
    </row>
    <row r="201" spans="2:4" x14ac:dyDescent="0.3">
      <c r="B201" s="9">
        <v>5</v>
      </c>
      <c r="C201" s="9">
        <v>78.326074836847809</v>
      </c>
      <c r="D201" s="9">
        <v>0.67392516315219098</v>
      </c>
    </row>
    <row r="202" spans="2:4" x14ac:dyDescent="0.3">
      <c r="B202" s="9">
        <v>6</v>
      </c>
      <c r="C202" s="9">
        <v>78.989833732332016</v>
      </c>
      <c r="D202" s="9">
        <v>1.0101662676679837</v>
      </c>
    </row>
    <row r="203" spans="2:4" x14ac:dyDescent="0.3">
      <c r="B203" s="9">
        <v>7</v>
      </c>
      <c r="C203" s="9">
        <v>78.909716984225895</v>
      </c>
      <c r="D203" s="9">
        <v>-0.90971698422589498</v>
      </c>
    </row>
    <row r="204" spans="2:4" x14ac:dyDescent="0.3">
      <c r="B204" s="9">
        <v>8</v>
      </c>
      <c r="C204" s="9">
        <v>79.573475879710102</v>
      </c>
      <c r="D204" s="9">
        <v>-0.57347587971010228</v>
      </c>
    </row>
    <row r="205" spans="2:4" ht="15" thickBot="1" x14ac:dyDescent="0.35">
      <c r="B205" s="10">
        <v>9</v>
      </c>
      <c r="C205" s="10">
        <v>79.493359131603981</v>
      </c>
      <c r="D205" s="10">
        <v>0.50664086839601907</v>
      </c>
    </row>
  </sheetData>
  <mergeCells count="27">
    <mergeCell ref="B158:D158"/>
    <mergeCell ref="B101:D101"/>
    <mergeCell ref="B102:D102"/>
    <mergeCell ref="B109:D109"/>
    <mergeCell ref="B111:D111"/>
    <mergeCell ref="B141:D141"/>
    <mergeCell ref="D145:D153"/>
    <mergeCell ref="AP93:AR93"/>
    <mergeCell ref="AP98:AR98"/>
    <mergeCell ref="AP132:AR132"/>
    <mergeCell ref="AZ93:BB93"/>
    <mergeCell ref="AZ98:BB98"/>
    <mergeCell ref="AZ132:BB132"/>
    <mergeCell ref="V93:X93"/>
    <mergeCell ref="V98:X98"/>
    <mergeCell ref="V132:X132"/>
    <mergeCell ref="AF93:AH93"/>
    <mergeCell ref="AF98:AH98"/>
    <mergeCell ref="AF132:AH132"/>
    <mergeCell ref="L132:N132"/>
    <mergeCell ref="B93:D93"/>
    <mergeCell ref="L93:N93"/>
    <mergeCell ref="B15:D15"/>
    <mergeCell ref="B35:E35"/>
    <mergeCell ref="B51:E51"/>
    <mergeCell ref="B90:D90"/>
    <mergeCell ref="L98:N98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06288-A6BC-4AEC-965A-73B24E30423B}">
  <sheetPr>
    <tabColor theme="5" tint="0.79998168889431442"/>
  </sheetPr>
  <dimension ref="A3:G25"/>
  <sheetViews>
    <sheetView topLeftCell="A10" workbookViewId="0">
      <selection activeCell="F32" sqref="F32"/>
    </sheetView>
  </sheetViews>
  <sheetFormatPr defaultRowHeight="14.4" x14ac:dyDescent="0.3"/>
  <cols>
    <col min="1" max="1" width="25.5546875" bestFit="1" customWidth="1"/>
    <col min="2" max="2" width="41.109375" customWidth="1"/>
    <col min="3" max="3" width="24.109375" customWidth="1"/>
    <col min="4" max="4" width="17.77734375" customWidth="1"/>
    <col min="5" max="5" width="27.33203125" customWidth="1"/>
    <col min="6" max="6" width="15.77734375" customWidth="1"/>
  </cols>
  <sheetData>
    <row r="3" spans="1:7" ht="21" customHeight="1" x14ac:dyDescent="0.3">
      <c r="A3" s="168"/>
      <c r="B3" s="203" t="s">
        <v>566</v>
      </c>
      <c r="C3" s="203"/>
      <c r="D3" s="204"/>
      <c r="E3" s="205" t="s">
        <v>567</v>
      </c>
      <c r="F3" s="203"/>
      <c r="G3" s="203"/>
    </row>
    <row r="4" spans="1:7" ht="21" customHeight="1" thickBot="1" x14ac:dyDescent="0.4">
      <c r="A4" s="124" t="s">
        <v>507</v>
      </c>
      <c r="B4" s="164" t="s">
        <v>568</v>
      </c>
      <c r="C4" s="164" t="s">
        <v>569</v>
      </c>
      <c r="D4" s="166" t="s">
        <v>571</v>
      </c>
      <c r="E4" s="164" t="s">
        <v>568</v>
      </c>
      <c r="F4" s="164" t="s">
        <v>569</v>
      </c>
      <c r="G4" s="165" t="s">
        <v>571</v>
      </c>
    </row>
    <row r="5" spans="1:7" x14ac:dyDescent="0.3">
      <c r="A5">
        <v>1</v>
      </c>
      <c r="B5" s="9">
        <v>-8.1725571051762813E-3</v>
      </c>
      <c r="C5" s="88" t="s">
        <v>18</v>
      </c>
      <c r="D5" s="167" t="s">
        <v>18</v>
      </c>
      <c r="E5" s="9">
        <v>-8.8170116438054613E-2</v>
      </c>
      <c r="F5" t="s">
        <v>18</v>
      </c>
      <c r="G5" t="s">
        <v>18</v>
      </c>
    </row>
    <row r="6" spans="1:7" x14ac:dyDescent="0.3">
      <c r="A6">
        <v>2</v>
      </c>
      <c r="B6" s="9">
        <v>1.3607574581140369E-3</v>
      </c>
      <c r="C6" s="88">
        <f>B5</f>
        <v>-8.1725571051762813E-3</v>
      </c>
      <c r="D6" s="167">
        <f>B6-C6</f>
        <v>9.5333145632903182E-3</v>
      </c>
      <c r="E6" s="9">
        <v>0.1940399742575627</v>
      </c>
      <c r="F6">
        <f>E5</f>
        <v>-8.8170116438054613E-2</v>
      </c>
      <c r="G6">
        <f>E6-F6</f>
        <v>0.28221009069561731</v>
      </c>
    </row>
    <row r="7" spans="1:7" x14ac:dyDescent="0.3">
      <c r="A7">
        <v>3</v>
      </c>
      <c r="B7" s="9">
        <v>9.3753613035980621E-3</v>
      </c>
      <c r="C7" s="88">
        <f t="shared" ref="C7:C13" si="0">B6</f>
        <v>1.3607574581140369E-3</v>
      </c>
      <c r="D7" s="167">
        <f t="shared" ref="D7:D13" si="1">B7-C7</f>
        <v>8.0146038454840252E-3</v>
      </c>
      <c r="E7" s="9">
        <v>8.8110004489434512E-2</v>
      </c>
      <c r="F7">
        <f t="shared" ref="F7:F12" si="2">E6</f>
        <v>0.1940399742575627</v>
      </c>
      <c r="G7">
        <f t="shared" ref="G7:G13" si="3">E7-F7</f>
        <v>-0.10592996976812818</v>
      </c>
    </row>
    <row r="8" spans="1:7" x14ac:dyDescent="0.3">
      <c r="A8">
        <v>4</v>
      </c>
      <c r="B8" s="9">
        <v>-3.610614181476457E-3</v>
      </c>
      <c r="C8" s="88">
        <f t="shared" si="0"/>
        <v>9.3753613035980621E-3</v>
      </c>
      <c r="D8" s="167">
        <f t="shared" si="1"/>
        <v>-1.2985975485074519E-2</v>
      </c>
      <c r="E8" s="9">
        <v>-6.4854980394629003E-2</v>
      </c>
      <c r="F8">
        <f t="shared" si="2"/>
        <v>8.8110004489434512E-2</v>
      </c>
      <c r="G8">
        <f t="shared" si="3"/>
        <v>-0.15296498488406352</v>
      </c>
    </row>
    <row r="9" spans="1:7" x14ac:dyDescent="0.3">
      <c r="A9">
        <v>5</v>
      </c>
      <c r="B9" s="9">
        <v>1.1959111301774961E-2</v>
      </c>
      <c r="C9" s="88">
        <f t="shared" si="0"/>
        <v>-3.610614181476457E-3</v>
      </c>
      <c r="D9" s="167">
        <f t="shared" si="1"/>
        <v>1.5569725483251418E-2</v>
      </c>
      <c r="E9" s="9">
        <v>-1.6633971325067609E-2</v>
      </c>
      <c r="F9">
        <f t="shared" si="2"/>
        <v>-6.4854980394629003E-2</v>
      </c>
      <c r="G9">
        <f t="shared" si="3"/>
        <v>4.8221009069561394E-2</v>
      </c>
    </row>
    <row r="10" spans="1:7" x14ac:dyDescent="0.3">
      <c r="A10">
        <v>6</v>
      </c>
      <c r="B10" s="9">
        <v>1.630789416683065E-2</v>
      </c>
      <c r="C10" s="88">
        <f t="shared" si="0"/>
        <v>1.1959111301774961E-2</v>
      </c>
      <c r="D10" s="167">
        <f t="shared" si="1"/>
        <v>4.3487828650556892E-3</v>
      </c>
      <c r="E10" s="9">
        <v>-0.1178199652786931</v>
      </c>
      <c r="F10">
        <f t="shared" si="2"/>
        <v>-1.6633971325067609E-2</v>
      </c>
      <c r="G10">
        <f t="shared" si="3"/>
        <v>-0.10118599395362549</v>
      </c>
    </row>
    <row r="11" spans="1:7" x14ac:dyDescent="0.3">
      <c r="A11">
        <v>7</v>
      </c>
      <c r="B11" s="9">
        <v>-1.5968279113510064E-2</v>
      </c>
      <c r="C11" s="88">
        <f t="shared" si="0"/>
        <v>1.630789416683065E-2</v>
      </c>
      <c r="D11" s="167">
        <f t="shared" si="1"/>
        <v>-3.2276173280340714E-2</v>
      </c>
      <c r="E11" s="9">
        <v>5.2761467611574631E-2</v>
      </c>
      <c r="F11">
        <f t="shared" si="2"/>
        <v>-0.1178199652786931</v>
      </c>
      <c r="G11">
        <f t="shared" si="3"/>
        <v>0.17058143289026773</v>
      </c>
    </row>
    <row r="12" spans="1:7" x14ac:dyDescent="0.3">
      <c r="A12">
        <v>8</v>
      </c>
      <c r="B12" s="9">
        <v>-9.2568635251035758E-3</v>
      </c>
      <c r="C12" s="88">
        <f t="shared" si="0"/>
        <v>-1.5968279113510064E-2</v>
      </c>
      <c r="D12" s="167">
        <f t="shared" si="1"/>
        <v>6.7114155884064886E-3</v>
      </c>
      <c r="E12" s="9">
        <v>-9.4302457720724764E-2</v>
      </c>
      <c r="F12">
        <f t="shared" si="2"/>
        <v>5.2761467611574631E-2</v>
      </c>
      <c r="G12">
        <f t="shared" si="3"/>
        <v>-0.14706392533229939</v>
      </c>
    </row>
    <row r="13" spans="1:7" x14ac:dyDescent="0.3">
      <c r="A13" s="88">
        <v>9</v>
      </c>
      <c r="B13" s="9">
        <v>-1.9948103050593247E-3</v>
      </c>
      <c r="C13" s="88">
        <f t="shared" si="0"/>
        <v>-9.2568635251035758E-3</v>
      </c>
      <c r="D13" s="167">
        <f t="shared" si="1"/>
        <v>7.2620532200442511E-3</v>
      </c>
      <c r="E13" s="9">
        <v>4.6870044798597688E-2</v>
      </c>
      <c r="F13" s="88">
        <f>E12</f>
        <v>-9.4302457720724764E-2</v>
      </c>
      <c r="G13" s="88">
        <f t="shared" si="3"/>
        <v>0.14117250251932245</v>
      </c>
    </row>
    <row r="14" spans="1:7" ht="15" thickBot="1" x14ac:dyDescent="0.35">
      <c r="A14" s="171" t="s">
        <v>572</v>
      </c>
      <c r="B14" s="169">
        <f>SUMSQ(B5:B13)</f>
        <v>9.2319876844497949E-4</v>
      </c>
      <c r="C14" s="169">
        <f t="shared" ref="C14:G14" si="4">SUMSQ(C5:C13)</f>
        <v>9.1921950029180861E-4</v>
      </c>
      <c r="D14" s="170">
        <f t="shared" si="4"/>
        <v>1.724613662486498E-3</v>
      </c>
      <c r="E14" s="169">
        <f t="shared" si="4"/>
        <v>8.5426782732126075E-2</v>
      </c>
      <c r="F14" s="169">
        <f t="shared" si="4"/>
        <v>8.3229981632703523E-2</v>
      </c>
      <c r="G14" s="169">
        <f t="shared" si="4"/>
        <v>0.1974813503227659</v>
      </c>
    </row>
    <row r="16" spans="1:7" x14ac:dyDescent="0.3">
      <c r="B16" s="100"/>
      <c r="C16" s="172"/>
      <c r="D16" s="172"/>
      <c r="E16" s="100"/>
      <c r="F16" s="172"/>
      <c r="G16" s="172"/>
    </row>
    <row r="18" spans="1:7" ht="22.8" customHeight="1" x14ac:dyDescent="0.3">
      <c r="A18" s="186" t="s">
        <v>570</v>
      </c>
      <c r="B18" s="186"/>
      <c r="C18" s="186"/>
      <c r="E18" s="186" t="s">
        <v>579</v>
      </c>
      <c r="F18" s="186"/>
      <c r="G18" s="107"/>
    </row>
    <row r="19" spans="1:7" x14ac:dyDescent="0.3">
      <c r="B19" s="125" t="s">
        <v>529</v>
      </c>
      <c r="C19" s="125" t="s">
        <v>527</v>
      </c>
      <c r="E19" s="125" t="s">
        <v>529</v>
      </c>
      <c r="F19" s="125" t="s">
        <v>527</v>
      </c>
    </row>
    <row r="20" spans="1:7" x14ac:dyDescent="0.3">
      <c r="A20" t="s">
        <v>573</v>
      </c>
      <c r="B20" s="172">
        <f>D14/B14</f>
        <v>1.8680848820795204</v>
      </c>
      <c r="C20" s="172">
        <f>G14/E14</f>
        <v>2.3117030046889493</v>
      </c>
      <c r="E20">
        <f>CORREL(B6:B13,C6:C13)</f>
        <v>2.6588365621661895E-2</v>
      </c>
      <c r="F20">
        <f>CORREL(E6:E13,F6:F13)</f>
        <v>-0.2229623856567694</v>
      </c>
    </row>
    <row r="21" spans="1:7" ht="15.6" x14ac:dyDescent="0.35">
      <c r="A21" t="s">
        <v>574</v>
      </c>
      <c r="B21">
        <v>0.82</v>
      </c>
      <c r="C21">
        <v>0.82</v>
      </c>
    </row>
    <row r="22" spans="1:7" ht="15.6" x14ac:dyDescent="0.35">
      <c r="A22" t="s">
        <v>575</v>
      </c>
      <c r="B22" s="121">
        <v>1.32</v>
      </c>
      <c r="C22" s="121">
        <v>1.32</v>
      </c>
    </row>
    <row r="23" spans="1:7" ht="15.6" x14ac:dyDescent="0.35">
      <c r="A23" t="s">
        <v>577</v>
      </c>
      <c r="B23" s="121">
        <f>4-B22</f>
        <v>2.6799999999999997</v>
      </c>
      <c r="C23" s="121">
        <f>4-C22</f>
        <v>2.6799999999999997</v>
      </c>
    </row>
    <row r="24" spans="1:7" ht="15.6" x14ac:dyDescent="0.35">
      <c r="A24" t="s">
        <v>576</v>
      </c>
      <c r="B24">
        <f>4-B21</f>
        <v>3.18</v>
      </c>
      <c r="C24">
        <f>4-C21</f>
        <v>3.18</v>
      </c>
    </row>
    <row r="25" spans="1:7" ht="43.2" customHeight="1" x14ac:dyDescent="0.3">
      <c r="A25" t="s">
        <v>509</v>
      </c>
      <c r="B25" s="202" t="s">
        <v>578</v>
      </c>
      <c r="C25" s="202"/>
      <c r="E25" t="s">
        <v>580</v>
      </c>
    </row>
  </sheetData>
  <mergeCells count="5">
    <mergeCell ref="A18:C18"/>
    <mergeCell ref="B25:C25"/>
    <mergeCell ref="E18:F18"/>
    <mergeCell ref="B3:D3"/>
    <mergeCell ref="E3:G3"/>
  </mergeCells>
  <pageMargins left="0.7" right="0.7" top="0.75" bottom="0.75" header="0.3" footer="0.3"/>
  <ignoredErrors>
    <ignoredError sqref="E20:F20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20</vt:i4>
      </vt:variant>
    </vt:vector>
  </HeadingPairs>
  <TitlesOfParts>
    <vt:vector size="20" baseType="lpstr">
      <vt:lpstr>З-1. Данные</vt:lpstr>
      <vt:lpstr>З-2. Множ. регрессия</vt:lpstr>
      <vt:lpstr>З-3. Значимость параметров</vt:lpstr>
      <vt:lpstr>ДЗ-3</vt:lpstr>
      <vt:lpstr>ДЗ-4</vt:lpstr>
      <vt:lpstr>З-5. Прогноз</vt:lpstr>
      <vt:lpstr>Лист5</vt:lpstr>
      <vt:lpstr>З-6. Анализ нелинейных функций</vt:lpstr>
      <vt:lpstr>З-7. Множ. регрессия</vt:lpstr>
      <vt:lpstr>З-8. Анализ случ. остатков</vt:lpstr>
      <vt:lpstr>ДЗ. 7</vt:lpstr>
      <vt:lpstr>ДЗ. 8</vt:lpstr>
      <vt:lpstr>ДЗ. 9</vt:lpstr>
      <vt:lpstr>З-9. Прогноз по нелинейным ф.</vt:lpstr>
      <vt:lpstr>З-10. Фиктивные переменные</vt:lpstr>
      <vt:lpstr>З-11. Системы эконометрич. ур. </vt:lpstr>
      <vt:lpstr>З-12. Решение систем</vt:lpstr>
      <vt:lpstr>З-13. Оценка параметров</vt:lpstr>
      <vt:lpstr>З-14. Коррелция рядов динамики</vt:lpstr>
      <vt:lpstr>З-15. Критерий Дарбина-Уотсона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Н.</dc:creator>
  <cp:lastModifiedBy>Муравьёв Андрей</cp:lastModifiedBy>
  <dcterms:created xsi:type="dcterms:W3CDTF">2020-09-15T11:17:41Z</dcterms:created>
  <dcterms:modified xsi:type="dcterms:W3CDTF">2026-04-30T17:22:02Z</dcterms:modified>
</cp:coreProperties>
</file>